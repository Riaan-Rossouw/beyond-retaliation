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Riaan Rossouw\Research\Publications\Refereed articles\World Trade Review\"/>
    </mc:Choice>
  </mc:AlternateContent>
  <xr:revisionPtr revIDLastSave="0" documentId="13_ncr:1_{F0BBA273-4C38-4C8B-8F2F-C7B136123C0F}" xr6:coauthVersionLast="47" xr6:coauthVersionMax="47" xr10:uidLastSave="{00000000-0000-0000-0000-000000000000}"/>
  <bookViews>
    <workbookView xWindow="-110" yWindow="-110" windowWidth="38620" windowHeight="21100" tabRatio="500" xr2:uid="{00000000-000D-0000-FFFF-FFFF00000000}"/>
  </bookViews>
  <sheets>
    <sheet name="Table 9 Macro" sheetId="2" r:id="rId1"/>
    <sheet name="Table 10 GVA" sheetId="3" r:id="rId2"/>
    <sheet name="Table 11 Employment" sheetId="4" r:id="rId3"/>
    <sheet name="Table 12 Trade" sheetId="5" r:id="rId4"/>
  </sheets>
  <externalReferences>
    <externalReference r:id="rId5"/>
    <externalReference r:id="rId6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<sst xmlns="http://schemas.openxmlformats.org/spreadsheetml/2006/main" count="156" uniqueCount="49">
  <si>
    <t>Baseline</t>
  </si>
  <si>
    <t>Table 9  Macroeconomic impacts</t>
  </si>
  <si>
    <t>Cumulative % change 2025-2030 (levels). Welfare in US$ million. Baseline column shows the no-shock path.</t>
  </si>
  <si>
    <t>Indicator</t>
  </si>
  <si>
    <t>Sc 1
USA tariff
shock</t>
  </si>
  <si>
    <t>Sc 2
SA policy
response</t>
  </si>
  <si>
    <t>Sc 6
USA tariff +
SA retaliation</t>
  </si>
  <si>
    <t>Sc 3
USA tariff +
world response</t>
  </si>
  <si>
    <t>Sc 4
SA policy +
world response</t>
  </si>
  <si>
    <t>Sc 5
Sc 4 + DSM
export realisation</t>
  </si>
  <si>
    <t>Nominal GDP (%)</t>
  </si>
  <si>
    <t>Real GDP (%)</t>
  </si>
  <si>
    <t>Real investment (%)</t>
  </si>
  <si>
    <t>Unskilled employment (%)</t>
  </si>
  <si>
    <t>Real exports (%)</t>
  </si>
  <si>
    <t>Real imports (%)</t>
  </si>
  <si>
    <t>Welfare, EV (US$m)</t>
  </si>
  <si>
    <t xml:space="preserve">   of which, deviation from baseline</t>
  </si>
  <si>
    <t>Real depreciation vs Sc 1 (%)</t>
  </si>
  <si>
    <t>n/a</t>
  </si>
  <si>
    <t>Table 10  Sectoral value added</t>
  </si>
  <si>
    <t>Cumulative % deviation from the baseline path by 2030.</t>
  </si>
  <si>
    <t>Sector</t>
  </si>
  <si>
    <t>Grains &amp; Crops</t>
  </si>
  <si>
    <t>Livestock &amp; Meat</t>
  </si>
  <si>
    <t>Other Agri-food</t>
  </si>
  <si>
    <t>Coal</t>
  </si>
  <si>
    <t>Mining</t>
  </si>
  <si>
    <t>Metals</t>
  </si>
  <si>
    <t>Automotive</t>
  </si>
  <si>
    <t>Machinery &amp; Equipment</t>
  </si>
  <si>
    <t>Chemicals &amp; Plastics</t>
  </si>
  <si>
    <t>Textiles &amp; Apparel</t>
  </si>
  <si>
    <t>Other Manufacturing</t>
  </si>
  <si>
    <t>Utilities</t>
  </si>
  <si>
    <t>Construction</t>
  </si>
  <si>
    <t>Trade &amp; Transport</t>
  </si>
  <si>
    <t>Business Services</t>
  </si>
  <si>
    <t>Public &amp; Other Services</t>
  </si>
  <si>
    <t>Table 11  Unskilled employment by sector</t>
  </si>
  <si>
    <t>Table 12  Bilateral export reallocation</t>
  </si>
  <si>
    <t>Cumulative % deviation in South African export volumes by destination, 2030. Sectors shown are those with the largest reallocation.</t>
  </si>
  <si>
    <t>Destination</t>
  </si>
  <si>
    <t>USA</t>
  </si>
  <si>
    <t>EU-27</t>
  </si>
  <si>
    <t>China</t>
  </si>
  <si>
    <t>United Kingdom</t>
  </si>
  <si>
    <t>SACU / SADC</t>
  </si>
  <si>
    <t>Rest of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</si>
</sst>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6" formatCode="#,##0.00_ ;[Red]\-#,##0.00\ "/>
    <numFmt numFmtId="168" formatCode="#,##0_ ;[Red]\-#,##0\ "/>
  </numFmts>
  <fonts count="6" x14ac:knownFonts="1">
    <font>
      <sz val="11"/>
      <color theme="1"/>
      <name val="Calibri"/>
      <family val="2"/>
      <charset val="1"/>
    </font>
    <font>
      <sz val="10"/>
      <name val="Aptos Display"/>
      <family val="2"/>
    </font>
    <font>
      <b/>
      <sz val="10"/>
      <name val="Aptos Display"/>
      <family val="2"/>
    </font>
    <font>
      <i/>
      <sz val="10"/>
      <name val="Aptos Display"/>
      <family val="2"/>
    </font>
    <font>
      <b/>
      <sz val="10"/>
      <color rgb="FF1F3864"/>
      <name val="Aptos Display"/>
      <family val="2"/>
    </font>
    <font>
      <sz val="10"/>
      <color theme="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166" fontId="1" fillId="0" borderId="1" xfId="0" applyNumberFormat="1" applyFont="1" applyBorder="1" applyAlignment="1">
      <alignment horizontal="center" vertical="center" wrapText="1"/>
    </xf>
    <xf numFmtId="168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F7C8C55-1361-4171-A7EC-AC12831E00F9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ZA" sz="1200"/>
              <a:t>Welfare deviation from baseline, US$ million</a:t>
            </a:r>
          </a:p>
        </c:rich>
      </c:tx>
      <c:overlay val="0"/>
      <c:spPr>
        <a:noFill/>
        <a:ln w="0"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</c:spPr>
          <c:invertIfNegative val="1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dk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'Table 9 Macro'!$C$4:$H$4</c:f>
              <c:strCache>
                <c:ptCount val="6"/>
                <c:pt idx="0">
                  <c:v>Sc 1
USA tariff
shock</c:v>
                </c:pt>
                <c:pt idx="1">
                  <c:v>Sc 2
SA policy
response</c:v>
                </c:pt>
                <c:pt idx="2">
                  <c:v>Sc 6
USA tariff +
SA retaliation</c:v>
                </c:pt>
                <c:pt idx="3">
                  <c:v>Sc 3
USA tariff +
world response</c:v>
                </c:pt>
                <c:pt idx="4">
                  <c:v>Sc 4
SA policy +
world response</c:v>
                </c:pt>
                <c:pt idx="5">
                  <c:v>Sc 5
Sc 4 + DSM
export realisation</c:v>
                </c:pt>
              </c:strCache>
            </c:strRef>
          </c:cat>
          <c:val>
            <c:numRef>
              <c:f>'Table 9 Macro'!$C$12:$H$12</c:f>
              <c:numCache>
                <c:formatCode>#\ ##0_ ;[Red]\-#\ ##0\ </c:formatCode>
                <c:ptCount val="6"/>
                <c:pt idx="0">
                  <c:v>-802.601</c:v>
                </c:pt>
                <c:pt idx="1">
                  <c:v>-1940.3</c:v>
                </c:pt>
                <c:pt idx="2">
                  <c:v>-1125</c:v>
                </c:pt>
                <c:pt idx="3">
                  <c:v>4987.7</c:v>
                </c:pt>
                <c:pt idx="4">
                  <c:v>3693.6</c:v>
                </c:pt>
                <c:pt idx="5">
                  <c:v>33476.5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2-B755-4BD2-96EF-12C249EB4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33826160"/>
        <c:axId val="10695319"/>
      </c:barChart>
      <c:catAx>
        <c:axId val="33826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0" cap="flat" cmpd="sng" algn="ctr">
            <a:solidFill>
              <a:schemeClr val="tx1">
                <a:lumMod val="50000"/>
                <a:lumOff val="50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0695319"/>
        <c:crosses val="autoZero"/>
        <c:auto val="1"/>
        <c:lblAlgn val="ctr"/>
        <c:lblOffset val="100"/>
        <c:noMultiLvlLbl val="0"/>
      </c:catAx>
      <c:valAx>
        <c:axId val="10695319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  <a:effectLst/>
          </c:spPr>
        </c:majorGridlines>
        <c:numFmt formatCode="#\ ##0_ ;[Red]\-#\ ##0\ " sourceLinked="1"/>
        <c:majorTickMark val="out"/>
        <c:minorTickMark val="none"/>
        <c:tickLblPos val="nextTo"/>
        <c:spPr>
          <a:noFill/>
          <a:ln w="0" cap="flat" cmpd="sng" algn="ctr">
            <a:solidFill>
              <a:schemeClr val="tx1">
                <a:lumMod val="50000"/>
                <a:lumOff val="50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33826160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1"/>
  </c:chart>
  <c:spPr>
    <a:solidFill>
      <a:srgbClr val="FFFFFF"/>
    </a:solidFill>
    <a:ln w="0" cap="flat" cmpd="sng" algn="ctr">
      <a:solidFill>
        <a:schemeClr val="bg1">
          <a:lumMod val="95000"/>
        </a:schemeClr>
      </a:solidFill>
      <a:prstDash val="solid"/>
      <a:round/>
    </a:ln>
    <a:effectLst/>
  </c:spPr>
  <c:txPr>
    <a:bodyPr/>
    <a:lstStyle/>
    <a:p>
      <a:pPr>
        <a:defRPr sz="800"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ZA" sz="1200"/>
              <a:t>Sectoral value added - Sc 1, Sc 2 and Sc 5</a:t>
            </a:r>
          </a:p>
        </c:rich>
      </c:tx>
      <c:overlay val="0"/>
      <c:spPr>
        <a:noFill/>
        <a:ln w="0"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 10 GVA'!$B$4</c:f>
              <c:strCache>
                <c:ptCount val="1"/>
                <c:pt idx="0">
                  <c:v>Sc 1
USA tariff
shock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_ ;[Red]\-#,##0.00\ 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dk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 10 GVA'!$A$5:$A$20</c:f>
              <c:strCache>
                <c:ptCount val="16"/>
                <c:pt idx="0">
                  <c:v>Grains &amp; Crops</c:v>
                </c:pt>
                <c:pt idx="1">
                  <c:v>Livestock &amp; Meat</c:v>
                </c:pt>
                <c:pt idx="2">
                  <c:v>Other Agri-food</c:v>
                </c:pt>
                <c:pt idx="3">
                  <c:v>Coal</c:v>
                </c:pt>
                <c:pt idx="4">
                  <c:v>Mining</c:v>
                </c:pt>
                <c:pt idx="5">
                  <c:v>Metals</c:v>
                </c:pt>
                <c:pt idx="6">
                  <c:v>Automotive</c:v>
                </c:pt>
                <c:pt idx="7">
                  <c:v>Machinery &amp; Equipment</c:v>
                </c:pt>
                <c:pt idx="8">
                  <c:v>Chemicals &amp; Plastics</c:v>
                </c:pt>
                <c:pt idx="9">
                  <c:v>Textiles &amp; Apparel</c:v>
                </c:pt>
                <c:pt idx="10">
                  <c:v>Other Manufacturing</c:v>
                </c:pt>
                <c:pt idx="11">
                  <c:v>Utilities</c:v>
                </c:pt>
                <c:pt idx="12">
                  <c:v>Construction</c:v>
                </c:pt>
                <c:pt idx="13">
                  <c:v>Trade &amp; Transport</c:v>
                </c:pt>
                <c:pt idx="14">
                  <c:v>Business Services</c:v>
                </c:pt>
                <c:pt idx="15">
                  <c:v>Public &amp; Other Services</c:v>
                </c:pt>
              </c:strCache>
            </c:strRef>
          </c:cat>
          <c:val>
            <c:numRef>
              <c:f>'Table 10 GVA'!$B$5:$B$20</c:f>
              <c:numCache>
                <c:formatCode>#\ ##0.00_ ;[Red]\-#\ ##0.00\ </c:formatCode>
                <c:ptCount val="16"/>
                <c:pt idx="0">
                  <c:v>-0.55452800000000002</c:v>
                </c:pt>
                <c:pt idx="1">
                  <c:v>-0.13101699999999999</c:v>
                </c:pt>
                <c:pt idx="2">
                  <c:v>-0.31080000000000002</c:v>
                </c:pt>
                <c:pt idx="3">
                  <c:v>-2.8202240000000001E-3</c:v>
                </c:pt>
                <c:pt idx="4">
                  <c:v>-1.52856E-2</c:v>
                </c:pt>
                <c:pt idx="5">
                  <c:v>-1.3073600000000001</c:v>
                </c:pt>
                <c:pt idx="6">
                  <c:v>-3.6072799999999998</c:v>
                </c:pt>
                <c:pt idx="7">
                  <c:v>-0.91740500000000003</c:v>
                </c:pt>
                <c:pt idx="8">
                  <c:v>-1.0384199999999999</c:v>
                </c:pt>
                <c:pt idx="9">
                  <c:v>-0.41358800000000001</c:v>
                </c:pt>
                <c:pt idx="10">
                  <c:v>-0.29755700000000002</c:v>
                </c:pt>
                <c:pt idx="11">
                  <c:v>-0.20746999999999999</c:v>
                </c:pt>
                <c:pt idx="12">
                  <c:v>-0.18179699999999999</c:v>
                </c:pt>
                <c:pt idx="13">
                  <c:v>-0.21789</c:v>
                </c:pt>
                <c:pt idx="14">
                  <c:v>-0.184002</c:v>
                </c:pt>
                <c:pt idx="15">
                  <c:v>-0.16911200000000001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F15-4EAF-A910-248739620925}"/>
            </c:ext>
          </c:extLst>
        </c:ser>
        <c:ser>
          <c:idx val="1"/>
          <c:order val="1"/>
          <c:tx>
            <c:strRef>
              <c:f>'Table 10 GVA'!$C$4</c:f>
              <c:strCache>
                <c:ptCount val="1"/>
                <c:pt idx="0">
                  <c:v>Sc 2
SA policy
response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_ ;[Red]\-#,##0.00\ 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dk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 10 GVA'!$A$5:$A$20</c:f>
              <c:strCache>
                <c:ptCount val="16"/>
                <c:pt idx="0">
                  <c:v>Grains &amp; Crops</c:v>
                </c:pt>
                <c:pt idx="1">
                  <c:v>Livestock &amp; Meat</c:v>
                </c:pt>
                <c:pt idx="2">
                  <c:v>Other Agri-food</c:v>
                </c:pt>
                <c:pt idx="3">
                  <c:v>Coal</c:v>
                </c:pt>
                <c:pt idx="4">
                  <c:v>Mining</c:v>
                </c:pt>
                <c:pt idx="5">
                  <c:v>Metals</c:v>
                </c:pt>
                <c:pt idx="6">
                  <c:v>Automotive</c:v>
                </c:pt>
                <c:pt idx="7">
                  <c:v>Machinery &amp; Equipment</c:v>
                </c:pt>
                <c:pt idx="8">
                  <c:v>Chemicals &amp; Plastics</c:v>
                </c:pt>
                <c:pt idx="9">
                  <c:v>Textiles &amp; Apparel</c:v>
                </c:pt>
                <c:pt idx="10">
                  <c:v>Other Manufacturing</c:v>
                </c:pt>
                <c:pt idx="11">
                  <c:v>Utilities</c:v>
                </c:pt>
                <c:pt idx="12">
                  <c:v>Construction</c:v>
                </c:pt>
                <c:pt idx="13">
                  <c:v>Trade &amp; Transport</c:v>
                </c:pt>
                <c:pt idx="14">
                  <c:v>Business Services</c:v>
                </c:pt>
                <c:pt idx="15">
                  <c:v>Public &amp; Other Services</c:v>
                </c:pt>
              </c:strCache>
            </c:strRef>
          </c:cat>
          <c:val>
            <c:numRef>
              <c:f>'Table 10 GVA'!$C$5:$C$20</c:f>
              <c:numCache>
                <c:formatCode>#\ ##0.00_ ;[Red]\-#\ ##0.00\ </c:formatCode>
                <c:ptCount val="16"/>
                <c:pt idx="0">
                  <c:v>0.517069</c:v>
                </c:pt>
                <c:pt idx="1">
                  <c:v>-1.5097100000000001</c:v>
                </c:pt>
                <c:pt idx="2">
                  <c:v>-0.68777999999999995</c:v>
                </c:pt>
                <c:pt idx="3">
                  <c:v>1.068561E-2</c:v>
                </c:pt>
                <c:pt idx="4">
                  <c:v>9.5277719999999996E-2</c:v>
                </c:pt>
                <c:pt idx="5">
                  <c:v>-2.7307100000000002</c:v>
                </c:pt>
                <c:pt idx="6">
                  <c:v>-3.1061899999999998</c:v>
                </c:pt>
                <c:pt idx="7">
                  <c:v>-0.21181700000000001</c:v>
                </c:pt>
                <c:pt idx="8">
                  <c:v>-1.5255799999999999</c:v>
                </c:pt>
                <c:pt idx="9">
                  <c:v>-20.440200000000001</c:v>
                </c:pt>
                <c:pt idx="10">
                  <c:v>-1.5746100000000001</c:v>
                </c:pt>
                <c:pt idx="11">
                  <c:v>-0.73059300000000005</c:v>
                </c:pt>
                <c:pt idx="12">
                  <c:v>-0.26502300000000001</c:v>
                </c:pt>
                <c:pt idx="13">
                  <c:v>-0.54447100000000004</c:v>
                </c:pt>
                <c:pt idx="14">
                  <c:v>-0.35286099999999998</c:v>
                </c:pt>
                <c:pt idx="15">
                  <c:v>-0.56456399999999995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F15-4EAF-A910-248739620925}"/>
            </c:ext>
          </c:extLst>
        </c:ser>
        <c:ser>
          <c:idx val="2"/>
          <c:order val="2"/>
          <c:tx>
            <c:strRef>
              <c:f>'Table 10 GVA'!$G$4</c:f>
              <c:strCache>
                <c:ptCount val="1"/>
                <c:pt idx="0">
                  <c:v>Sc 5
Sc 4 + DSM
export realisation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0_ ;[Red]\-#,##0.00\ 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dk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 10 GVA'!$A$5:$A$20</c:f>
              <c:strCache>
                <c:ptCount val="16"/>
                <c:pt idx="0">
                  <c:v>Grains &amp; Crops</c:v>
                </c:pt>
                <c:pt idx="1">
                  <c:v>Livestock &amp; Meat</c:v>
                </c:pt>
                <c:pt idx="2">
                  <c:v>Other Agri-food</c:v>
                </c:pt>
                <c:pt idx="3">
                  <c:v>Coal</c:v>
                </c:pt>
                <c:pt idx="4">
                  <c:v>Mining</c:v>
                </c:pt>
                <c:pt idx="5">
                  <c:v>Metals</c:v>
                </c:pt>
                <c:pt idx="6">
                  <c:v>Automotive</c:v>
                </c:pt>
                <c:pt idx="7">
                  <c:v>Machinery &amp; Equipment</c:v>
                </c:pt>
                <c:pt idx="8">
                  <c:v>Chemicals &amp; Plastics</c:v>
                </c:pt>
                <c:pt idx="9">
                  <c:v>Textiles &amp; Apparel</c:v>
                </c:pt>
                <c:pt idx="10">
                  <c:v>Other Manufacturing</c:v>
                </c:pt>
                <c:pt idx="11">
                  <c:v>Utilities</c:v>
                </c:pt>
                <c:pt idx="12">
                  <c:v>Construction</c:v>
                </c:pt>
                <c:pt idx="13">
                  <c:v>Trade &amp; Transport</c:v>
                </c:pt>
                <c:pt idx="14">
                  <c:v>Business Services</c:v>
                </c:pt>
                <c:pt idx="15">
                  <c:v>Public &amp; Other Services</c:v>
                </c:pt>
              </c:strCache>
            </c:strRef>
          </c:cat>
          <c:val>
            <c:numRef>
              <c:f>'Table 10 GVA'!$G$5:$G$20</c:f>
              <c:numCache>
                <c:formatCode>#\ ##0.00_ ;[Red]\-#\ ##0.00\ </c:formatCode>
                <c:ptCount val="16"/>
                <c:pt idx="0">
                  <c:v>26.950900000000001</c:v>
                </c:pt>
                <c:pt idx="1">
                  <c:v>0.913246</c:v>
                </c:pt>
                <c:pt idx="2">
                  <c:v>7.5762799999999997</c:v>
                </c:pt>
                <c:pt idx="3">
                  <c:v>4.6375729999999997E-2</c:v>
                </c:pt>
                <c:pt idx="4">
                  <c:v>-0.32454</c:v>
                </c:pt>
                <c:pt idx="5">
                  <c:v>139.267</c:v>
                </c:pt>
                <c:pt idx="6">
                  <c:v>43.629300000000001</c:v>
                </c:pt>
                <c:pt idx="7">
                  <c:v>43.438200000000002</c:v>
                </c:pt>
                <c:pt idx="8">
                  <c:v>45.234099999999998</c:v>
                </c:pt>
                <c:pt idx="9">
                  <c:v>-8.6253799999999998</c:v>
                </c:pt>
                <c:pt idx="10">
                  <c:v>16.785499999999999</c:v>
                </c:pt>
                <c:pt idx="11">
                  <c:v>7.2070499999999997</c:v>
                </c:pt>
                <c:pt idx="12">
                  <c:v>24.637899999999998</c:v>
                </c:pt>
                <c:pt idx="13">
                  <c:v>6.3445</c:v>
                </c:pt>
                <c:pt idx="14">
                  <c:v>4.1723699999999999</c:v>
                </c:pt>
                <c:pt idx="15">
                  <c:v>2.5980300000000001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F15-4EAF-A910-248739620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15"/>
        <c:axId val="24353319"/>
        <c:axId val="90546899"/>
      </c:barChart>
      <c:catAx>
        <c:axId val="24353319"/>
        <c:scaling>
          <c:orientation val="minMax"/>
        </c:scaling>
        <c:delete val="0"/>
        <c:axPos val="b"/>
        <c:majorGridlines>
          <c:spPr>
            <a:ln w="0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0" cap="flat" cmpd="sng" algn="ctr">
            <a:solidFill>
              <a:schemeClr val="tx1">
                <a:lumMod val="50000"/>
                <a:lumOff val="50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90546899"/>
        <c:crosses val="autoZero"/>
        <c:auto val="1"/>
        <c:lblAlgn val="ctr"/>
        <c:lblOffset val="100"/>
        <c:noMultiLvlLbl val="0"/>
      </c:catAx>
      <c:valAx>
        <c:axId val="90546899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  <a:effectLst/>
          </c:spPr>
        </c:majorGridlines>
        <c:numFmt formatCode="#\ ##0.00_ ;[Red]\-#\ ##0.00\ " sourceLinked="1"/>
        <c:majorTickMark val="out"/>
        <c:minorTickMark val="none"/>
        <c:tickLblPos val="nextTo"/>
        <c:spPr>
          <a:noFill/>
          <a:ln w="0" cap="flat" cmpd="sng" algn="ctr">
            <a:solidFill>
              <a:schemeClr val="tx1">
                <a:lumMod val="50000"/>
                <a:lumOff val="50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4353319"/>
        <c:crosses val="autoZero"/>
        <c:crossBetween val="between"/>
      </c:valAx>
      <c:spPr>
        <a:noFill/>
        <a:ln w="0">
          <a:noFill/>
        </a:ln>
        <a:effectLst/>
      </c:spPr>
    </c:plotArea>
    <c:legend>
      <c:legendPos val="tr"/>
      <c:overlay val="1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0" cap="flat" cmpd="sng" algn="ctr">
      <a:solidFill>
        <a:schemeClr val="bg1">
          <a:lumMod val="95000"/>
        </a:schemeClr>
      </a:solidFill>
      <a:prstDash val="solid"/>
      <a:round/>
    </a:ln>
    <a:effectLst/>
  </c:spPr>
  <c:txPr>
    <a:bodyPr/>
    <a:lstStyle/>
    <a:p>
      <a:pPr>
        <a:defRPr sz="800"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ZA" sz="1200"/>
              <a:t>Unskilled employment by sector - Sc 1, Sc 2 and Sc 5</a:t>
            </a:r>
          </a:p>
        </c:rich>
      </c:tx>
      <c:overlay val="0"/>
      <c:spPr>
        <a:noFill/>
        <a:ln w="0"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 11 Employment'!$B$4</c:f>
              <c:strCache>
                <c:ptCount val="1"/>
                <c:pt idx="0">
                  <c:v>Sc 1
USA tariff
shock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_ ;[Red]\-#,##0.00\ 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dk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 11 Employment'!$A$5:$A$20</c:f>
              <c:strCache>
                <c:ptCount val="16"/>
                <c:pt idx="0">
                  <c:v>Grains &amp; Crops</c:v>
                </c:pt>
                <c:pt idx="1">
                  <c:v>Livestock &amp; Meat</c:v>
                </c:pt>
                <c:pt idx="2">
                  <c:v>Other Agri-food</c:v>
                </c:pt>
                <c:pt idx="3">
                  <c:v>Coal</c:v>
                </c:pt>
                <c:pt idx="4">
                  <c:v>Mining</c:v>
                </c:pt>
                <c:pt idx="5">
                  <c:v>Metals</c:v>
                </c:pt>
                <c:pt idx="6">
                  <c:v>Automotive</c:v>
                </c:pt>
                <c:pt idx="7">
                  <c:v>Machinery &amp; Equipment</c:v>
                </c:pt>
                <c:pt idx="8">
                  <c:v>Chemicals &amp; Plastics</c:v>
                </c:pt>
                <c:pt idx="9">
                  <c:v>Textiles &amp; Apparel</c:v>
                </c:pt>
                <c:pt idx="10">
                  <c:v>Other Manufacturing</c:v>
                </c:pt>
                <c:pt idx="11">
                  <c:v>Utilities</c:v>
                </c:pt>
                <c:pt idx="12">
                  <c:v>Construction</c:v>
                </c:pt>
                <c:pt idx="13">
                  <c:v>Trade &amp; Transport</c:v>
                </c:pt>
                <c:pt idx="14">
                  <c:v>Business Services</c:v>
                </c:pt>
                <c:pt idx="15">
                  <c:v>Public &amp; Other Services</c:v>
                </c:pt>
              </c:strCache>
            </c:strRef>
          </c:cat>
          <c:val>
            <c:numRef>
              <c:f>'Table 11 Employment'!$B$5:$B$20</c:f>
              <c:numCache>
                <c:formatCode>#\ ##0.00_ ;[Red]\-#\ ##0.00\ </c:formatCode>
                <c:ptCount val="16"/>
                <c:pt idx="0">
                  <c:v>-0.64446800000000004</c:v>
                </c:pt>
                <c:pt idx="1">
                  <c:v>-0.18898599999999999</c:v>
                </c:pt>
                <c:pt idx="2">
                  <c:v>-0.204734</c:v>
                </c:pt>
                <c:pt idx="3">
                  <c:v>-1.4775079999999999E-2</c:v>
                </c:pt>
                <c:pt idx="4">
                  <c:v>-3.4916790000000003E-2</c:v>
                </c:pt>
                <c:pt idx="5">
                  <c:v>-1.2056199999999999</c:v>
                </c:pt>
                <c:pt idx="6">
                  <c:v>-3.5453700000000001</c:v>
                </c:pt>
                <c:pt idx="7">
                  <c:v>-0.87118600000000002</c:v>
                </c:pt>
                <c:pt idx="8">
                  <c:v>-0.95519699999999996</c:v>
                </c:pt>
                <c:pt idx="9">
                  <c:v>-0.30335400000000001</c:v>
                </c:pt>
                <c:pt idx="10">
                  <c:v>-0.229245</c:v>
                </c:pt>
                <c:pt idx="11">
                  <c:v>-6.8509379999999995E-2</c:v>
                </c:pt>
                <c:pt idx="12">
                  <c:v>-0.123178</c:v>
                </c:pt>
                <c:pt idx="13">
                  <c:v>-8.4100510000000003E-2</c:v>
                </c:pt>
                <c:pt idx="14">
                  <c:v>-0.13131699999999999</c:v>
                </c:pt>
                <c:pt idx="15">
                  <c:v>-9.4462660000000004E-2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7E-4353-891D-7D8E8356375A}"/>
            </c:ext>
          </c:extLst>
        </c:ser>
        <c:ser>
          <c:idx val="1"/>
          <c:order val="1"/>
          <c:tx>
            <c:strRef>
              <c:f>'Table 11 Employment'!$C$4</c:f>
              <c:strCache>
                <c:ptCount val="1"/>
                <c:pt idx="0">
                  <c:v>Sc 2
SA policy
response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_ ;[Red]\-#,##0.00\ 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dk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 11 Employment'!$A$5:$A$20</c:f>
              <c:strCache>
                <c:ptCount val="16"/>
                <c:pt idx="0">
                  <c:v>Grains &amp; Crops</c:v>
                </c:pt>
                <c:pt idx="1">
                  <c:v>Livestock &amp; Meat</c:v>
                </c:pt>
                <c:pt idx="2">
                  <c:v>Other Agri-food</c:v>
                </c:pt>
                <c:pt idx="3">
                  <c:v>Coal</c:v>
                </c:pt>
                <c:pt idx="4">
                  <c:v>Mining</c:v>
                </c:pt>
                <c:pt idx="5">
                  <c:v>Metals</c:v>
                </c:pt>
                <c:pt idx="6">
                  <c:v>Automotive</c:v>
                </c:pt>
                <c:pt idx="7">
                  <c:v>Machinery &amp; Equipment</c:v>
                </c:pt>
                <c:pt idx="8">
                  <c:v>Chemicals &amp; Plastics</c:v>
                </c:pt>
                <c:pt idx="9">
                  <c:v>Textiles &amp; Apparel</c:v>
                </c:pt>
                <c:pt idx="10">
                  <c:v>Other Manufacturing</c:v>
                </c:pt>
                <c:pt idx="11">
                  <c:v>Utilities</c:v>
                </c:pt>
                <c:pt idx="12">
                  <c:v>Construction</c:v>
                </c:pt>
                <c:pt idx="13">
                  <c:v>Trade &amp; Transport</c:v>
                </c:pt>
                <c:pt idx="14">
                  <c:v>Business Services</c:v>
                </c:pt>
                <c:pt idx="15">
                  <c:v>Public &amp; Other Services</c:v>
                </c:pt>
              </c:strCache>
            </c:strRef>
          </c:cat>
          <c:val>
            <c:numRef>
              <c:f>'Table 11 Employment'!$C$5:$C$20</c:f>
              <c:numCache>
                <c:formatCode>#\ ##0.00_ ;[Red]\-#\ ##0.00\ </c:formatCode>
                <c:ptCount val="16"/>
                <c:pt idx="0">
                  <c:v>0.195914</c:v>
                </c:pt>
                <c:pt idx="1">
                  <c:v>-2.2460399999999998</c:v>
                </c:pt>
                <c:pt idx="2">
                  <c:v>-1.7077899999999999</c:v>
                </c:pt>
                <c:pt idx="3">
                  <c:v>-2.666694E-2</c:v>
                </c:pt>
                <c:pt idx="4">
                  <c:v>0.16440199999999999</c:v>
                </c:pt>
                <c:pt idx="5">
                  <c:v>-3.8147000000000002</c:v>
                </c:pt>
                <c:pt idx="6">
                  <c:v>-4.0952000000000002</c:v>
                </c:pt>
                <c:pt idx="7">
                  <c:v>-1.18788</c:v>
                </c:pt>
                <c:pt idx="8">
                  <c:v>-2.5775700000000001</c:v>
                </c:pt>
                <c:pt idx="9">
                  <c:v>-21.3414</c:v>
                </c:pt>
                <c:pt idx="10">
                  <c:v>-2.5248400000000002</c:v>
                </c:pt>
                <c:pt idx="11">
                  <c:v>-1.85955</c:v>
                </c:pt>
                <c:pt idx="12">
                  <c:v>-0.93988899999999997</c:v>
                </c:pt>
                <c:pt idx="13">
                  <c:v>-1.96584</c:v>
                </c:pt>
                <c:pt idx="14">
                  <c:v>-1.60259</c:v>
                </c:pt>
                <c:pt idx="15">
                  <c:v>-1.82036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17E-4353-891D-7D8E8356375A}"/>
            </c:ext>
          </c:extLst>
        </c:ser>
        <c:ser>
          <c:idx val="2"/>
          <c:order val="2"/>
          <c:tx>
            <c:strRef>
              <c:f>'Table 11 Employment'!$G$4</c:f>
              <c:strCache>
                <c:ptCount val="1"/>
                <c:pt idx="0">
                  <c:v>Sc 5
Sc 4 + DSM
export realisation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0_ ;[Red]\-#,##0.00\ 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dk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 11 Employment'!$A$5:$A$20</c:f>
              <c:strCache>
                <c:ptCount val="16"/>
                <c:pt idx="0">
                  <c:v>Grains &amp; Crops</c:v>
                </c:pt>
                <c:pt idx="1">
                  <c:v>Livestock &amp; Meat</c:v>
                </c:pt>
                <c:pt idx="2">
                  <c:v>Other Agri-food</c:v>
                </c:pt>
                <c:pt idx="3">
                  <c:v>Coal</c:v>
                </c:pt>
                <c:pt idx="4">
                  <c:v>Mining</c:v>
                </c:pt>
                <c:pt idx="5">
                  <c:v>Metals</c:v>
                </c:pt>
                <c:pt idx="6">
                  <c:v>Automotive</c:v>
                </c:pt>
                <c:pt idx="7">
                  <c:v>Machinery &amp; Equipment</c:v>
                </c:pt>
                <c:pt idx="8">
                  <c:v>Chemicals &amp; Plastics</c:v>
                </c:pt>
                <c:pt idx="9">
                  <c:v>Textiles &amp; Apparel</c:v>
                </c:pt>
                <c:pt idx="10">
                  <c:v>Other Manufacturing</c:v>
                </c:pt>
                <c:pt idx="11">
                  <c:v>Utilities</c:v>
                </c:pt>
                <c:pt idx="12">
                  <c:v>Construction</c:v>
                </c:pt>
                <c:pt idx="13">
                  <c:v>Trade &amp; Transport</c:v>
                </c:pt>
                <c:pt idx="14">
                  <c:v>Business Services</c:v>
                </c:pt>
                <c:pt idx="15">
                  <c:v>Public &amp; Other Services</c:v>
                </c:pt>
              </c:strCache>
            </c:strRef>
          </c:cat>
          <c:val>
            <c:numRef>
              <c:f>'Table 11 Employment'!$G$5:$G$20</c:f>
              <c:numCache>
                <c:formatCode>#\ ##0.00_ ;[Red]\-#\ ##0.00\ </c:formatCode>
                <c:ptCount val="16"/>
                <c:pt idx="0">
                  <c:v>36.788899999999998</c:v>
                </c:pt>
                <c:pt idx="1">
                  <c:v>8.6778499999999994</c:v>
                </c:pt>
                <c:pt idx="2">
                  <c:v>13.856400000000001</c:v>
                </c:pt>
                <c:pt idx="3">
                  <c:v>1.5246200000000001</c:v>
                </c:pt>
                <c:pt idx="4">
                  <c:v>-0.22518199999999999</c:v>
                </c:pt>
                <c:pt idx="5">
                  <c:v>154.69499999999999</c:v>
                </c:pt>
                <c:pt idx="6">
                  <c:v>52.452800000000003</c:v>
                </c:pt>
                <c:pt idx="7">
                  <c:v>52.054000000000002</c:v>
                </c:pt>
                <c:pt idx="8">
                  <c:v>54.381900000000002</c:v>
                </c:pt>
                <c:pt idx="9">
                  <c:v>-2.6797300000000002</c:v>
                </c:pt>
                <c:pt idx="10">
                  <c:v>23.6707</c:v>
                </c:pt>
                <c:pt idx="11">
                  <c:v>13.9505</c:v>
                </c:pt>
                <c:pt idx="12">
                  <c:v>29.449000000000002</c:v>
                </c:pt>
                <c:pt idx="13">
                  <c:v>15.1555</c:v>
                </c:pt>
                <c:pt idx="14">
                  <c:v>12.355600000000001</c:v>
                </c:pt>
                <c:pt idx="15">
                  <c:v>10.513299999999999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17E-4353-891D-7D8E83563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15"/>
        <c:axId val="24353319"/>
        <c:axId val="90546899"/>
      </c:barChart>
      <c:catAx>
        <c:axId val="24353319"/>
        <c:scaling>
          <c:orientation val="minMax"/>
        </c:scaling>
        <c:delete val="0"/>
        <c:axPos val="b"/>
        <c:majorGridlines>
          <c:spPr>
            <a:ln w="0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0" cap="flat" cmpd="sng" algn="ctr">
            <a:solidFill>
              <a:schemeClr val="tx1">
                <a:lumMod val="50000"/>
                <a:lumOff val="50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90546899"/>
        <c:crosses val="autoZero"/>
        <c:auto val="1"/>
        <c:lblAlgn val="ctr"/>
        <c:lblOffset val="100"/>
        <c:noMultiLvlLbl val="0"/>
      </c:catAx>
      <c:valAx>
        <c:axId val="90546899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  <a:effectLst/>
          </c:spPr>
        </c:majorGridlines>
        <c:numFmt formatCode="#\ ##0.00_ ;[Red]\-#\ ##0.00\ " sourceLinked="1"/>
        <c:majorTickMark val="out"/>
        <c:minorTickMark val="none"/>
        <c:tickLblPos val="nextTo"/>
        <c:spPr>
          <a:noFill/>
          <a:ln w="0" cap="flat" cmpd="sng" algn="ctr">
            <a:solidFill>
              <a:schemeClr val="tx1">
                <a:lumMod val="50000"/>
                <a:lumOff val="50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4353319"/>
        <c:crosses val="autoZero"/>
        <c:crossBetween val="between"/>
      </c:valAx>
      <c:spPr>
        <a:noFill/>
        <a:ln w="0">
          <a:noFill/>
        </a:ln>
        <a:effectLst/>
      </c:spPr>
    </c:plotArea>
    <c:legend>
      <c:legendPos val="tr"/>
      <c:overlay val="1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0" cap="flat" cmpd="sng" algn="ctr">
      <a:solidFill>
        <a:schemeClr val="bg1">
          <a:lumMod val="95000"/>
        </a:schemeClr>
      </a:solidFill>
      <a:prstDash val="solid"/>
      <a:round/>
    </a:ln>
    <a:effectLst/>
  </c:spPr>
  <c:txPr>
    <a:bodyPr/>
    <a:lstStyle/>
    <a:p>
      <a:pPr>
        <a:defRPr sz="800"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21</xdr:col>
      <xdr:colOff>592830</xdr:colOff>
      <xdr:row>23</xdr:row>
      <xdr:rowOff>104268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69CC68-7AA4-43C1-A21E-1580ADCA7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5</xdr:row>
      <xdr:rowOff>0</xdr:rowOff>
    </xdr:from>
    <xdr:to>
      <xdr:col>23</xdr:col>
      <xdr:colOff>206660</xdr:colOff>
      <xdr:row>27</xdr:row>
      <xdr:rowOff>133525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BD5D16-E6A1-4F46-95DE-7D5946F27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5</xdr:row>
      <xdr:rowOff>0</xdr:rowOff>
    </xdr:from>
    <xdr:to>
      <xdr:col>23</xdr:col>
      <xdr:colOff>206660</xdr:colOff>
      <xdr:row>27</xdr:row>
      <xdr:rowOff>133525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2501A3-4E32-48BB-A4C5-35E59B5CAB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Consultancy/Econex%20(FTI%20Consulting)/FIASA%20-%20Econ%20Impact%20of%20the%20Oil%20Industry%20in%20SA/2.%20Multiplier%20Analysis/MPA_FIASA_2026/2026-08-19_1418_FIASA_EIA_Results.xlsx" TargetMode="External"/><Relationship Id="rId2" Type="http://schemas.openxmlformats.org/officeDocument/2006/relationships/externalLinkPath" Target="file:///D:\Riaan%20Rossouw\Consultancy\Econex%20(FTI%20Consulting)\FIASA%20-%20Econ%20Impact%20of%20the%20Oil%20Industry%20in%20SA\2.%20Multiplier%20Analysis\MPA_FIASA_2026\2026-08-19_1418_FIASA_EIA_Results.xlsx" TargetMode="External"/><Relationship Id="rId1" Type="http://schemas.openxmlformats.org/officeDocument/2006/relationships/externalLinkPath" Target="/Riaan%20Rossouw/Consultancy/Econex%20(FTI%20Consulting)/FIASA%20-%20Econ%20Impact%20of%20the%20Oil%20Industry%20in%20SA/2.%20Multiplier%20Analysis/MPA_FIASA_2026/2026-08-19_1418_FIASA_EIA_Resul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0%20Headline%20summary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ssumptions"/>
      <sheetName val="T1 Industry"/>
      <sheetName val="T2 Value chain"/>
      <sheetName val="T3 Participant type"/>
      <sheetName val="T4 Lines of business"/>
      <sheetName val="T5 Broad sectors"/>
      <sheetName val="T6 Multipliers"/>
      <sheetName val="Forecourts"/>
      <sheetName val="Comparison vs 2019 study"/>
      <sheetName val="Results database"/>
      <sheetName val="CH1 Waterfalls"/>
      <sheetName val="CH2 Segments"/>
      <sheetName val="CH3 Bubble"/>
      <sheetName val="Methodology"/>
      <sheetName val="F0 Headline summary"/>
      <sheetName val="F1 National contribution"/>
      <sheetName val="F2 Sector benchmarks"/>
      <sheetName val="F3 Skills and workforce"/>
      <sheetName val="F4 Value chain"/>
      <sheetName val="F5 Participant types"/>
      <sheetName val="F6 Segment detail"/>
      <sheetName val="F7 Participant &amp; LoB detail"/>
      <sheetName val="Validation"/>
      <sheetName val="Pivo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B2" t="str">
            <v>Members (initial)</v>
          </cell>
          <cell r="C2" t="str">
            <v>Direct + indirect</v>
          </cell>
          <cell r="D2" t="str">
            <v>Economy-wide</v>
          </cell>
        </row>
      </sheetData>
      <sheetData sheetId="15"/>
      <sheetData sheetId="16"/>
      <sheetData sheetId="17">
        <row r="9">
          <cell r="B9" t="str">
            <v>Employees</v>
          </cell>
        </row>
        <row r="10">
          <cell r="A10" t="str">
            <v>African</v>
          </cell>
          <cell r="B10">
            <v>2961</v>
          </cell>
        </row>
        <row r="11">
          <cell r="A11" t="str">
            <v>Coloured</v>
          </cell>
          <cell r="B11">
            <v>940</v>
          </cell>
        </row>
        <row r="12">
          <cell r="A12" t="str">
            <v>Indian/Asian</v>
          </cell>
          <cell r="B12">
            <v>290</v>
          </cell>
        </row>
        <row r="13">
          <cell r="A13" t="str">
            <v>White</v>
          </cell>
          <cell r="B13">
            <v>561</v>
          </cell>
        </row>
      </sheetData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0 Headline summary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tabSelected="1"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8.6328125" defaultRowHeight="13" x14ac:dyDescent="0.3"/>
  <cols>
    <col min="1" max="1" width="30" style="5" customWidth="1"/>
    <col min="2" max="8" width="15.6328125" style="5" customWidth="1"/>
    <col min="9" max="16384" width="8.6328125" style="5"/>
  </cols>
  <sheetData>
    <row r="1" spans="1:8" x14ac:dyDescent="0.3">
      <c r="A1" s="7" t="s">
        <v>1</v>
      </c>
      <c r="B1" s="7"/>
      <c r="C1" s="7"/>
      <c r="D1" s="7"/>
      <c r="E1" s="7"/>
      <c r="F1" s="7"/>
      <c r="G1" s="7"/>
      <c r="H1" s="7"/>
    </row>
    <row r="2" spans="1:8" x14ac:dyDescent="0.3">
      <c r="A2" s="8" t="s">
        <v>2</v>
      </c>
      <c r="B2" s="8"/>
      <c r="C2" s="8"/>
      <c r="D2" s="8"/>
      <c r="E2" s="8"/>
      <c r="F2" s="8"/>
      <c r="G2" s="8"/>
      <c r="H2" s="8"/>
    </row>
    <row r="4" spans="1:8" ht="45.75" customHeight="1" x14ac:dyDescent="0.3">
      <c r="A4" s="1" t="s">
        <v>3</v>
      </c>
      <c r="B4" s="1" t="s">
        <v>0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3">
      <c r="A5" s="2" t="s">
        <v>10</v>
      </c>
      <c r="B5" s="9">
        <v>52.409700000000001</v>
      </c>
      <c r="C5" s="9">
        <v>52.279913000000001</v>
      </c>
      <c r="D5" s="9">
        <v>51.499375000000001</v>
      </c>
      <c r="E5" s="9">
        <v>52.301616000000003</v>
      </c>
      <c r="F5" s="9">
        <v>53.972059999999999</v>
      </c>
      <c r="G5" s="9">
        <v>53.078543000000003</v>
      </c>
      <c r="H5" s="9">
        <v>62.048630000000003</v>
      </c>
    </row>
    <row r="6" spans="1:8" x14ac:dyDescent="0.3">
      <c r="A6" s="2" t="s">
        <v>11</v>
      </c>
      <c r="B6" s="9">
        <v>8.8965999999999994</v>
      </c>
      <c r="C6" s="9">
        <v>8.6962840000000003</v>
      </c>
      <c r="D6" s="9">
        <v>8.4939269999999993</v>
      </c>
      <c r="E6" s="9">
        <v>8.6235789999999994</v>
      </c>
      <c r="F6" s="9">
        <v>9.5399779999999996</v>
      </c>
      <c r="G6" s="9">
        <v>9.1675199999999997</v>
      </c>
      <c r="H6" s="9">
        <v>13.561360000000001</v>
      </c>
    </row>
    <row r="7" spans="1:8" x14ac:dyDescent="0.3">
      <c r="A7" s="2" t="s">
        <v>12</v>
      </c>
      <c r="B7" s="9">
        <v>22.9544</v>
      </c>
      <c r="C7" s="9">
        <v>22.764109999999999</v>
      </c>
      <c r="D7" s="9">
        <v>22.721294</v>
      </c>
      <c r="E7" s="9">
        <v>22.035968</v>
      </c>
      <c r="F7" s="9">
        <v>27.554369999999999</v>
      </c>
      <c r="G7" s="9">
        <v>27.164650000000002</v>
      </c>
      <c r="H7" s="9">
        <v>55.027099999999997</v>
      </c>
    </row>
    <row r="8" spans="1:8" x14ac:dyDescent="0.3">
      <c r="A8" s="2" t="s">
        <v>13</v>
      </c>
      <c r="B8" s="9">
        <v>6.8283199999999997</v>
      </c>
      <c r="C8" s="9">
        <v>6.6889469999999998</v>
      </c>
      <c r="D8" s="9">
        <v>5.2995799999999997</v>
      </c>
      <c r="E8" s="9">
        <v>6.7502552199999997</v>
      </c>
      <c r="F8" s="9">
        <v>8.0346200000000003</v>
      </c>
      <c r="G8" s="9">
        <v>6.454993</v>
      </c>
      <c r="H8" s="9">
        <v>20.23002</v>
      </c>
    </row>
    <row r="9" spans="1:8" x14ac:dyDescent="0.3">
      <c r="A9" s="2" t="s">
        <v>14</v>
      </c>
      <c r="B9" s="9">
        <v>-10.827</v>
      </c>
      <c r="C9" s="9">
        <v>-11.305210000000001</v>
      </c>
      <c r="D9" s="9">
        <v>-10.097847</v>
      </c>
      <c r="E9" s="9">
        <v>-11.505641000000001</v>
      </c>
      <c r="F9" s="9">
        <v>-11.312206</v>
      </c>
      <c r="G9" s="9">
        <v>-9.9726090000000003</v>
      </c>
      <c r="H9" s="9">
        <v>5.5557999999999996</v>
      </c>
    </row>
    <row r="10" spans="1:8" x14ac:dyDescent="0.3">
      <c r="A10" s="2" t="s">
        <v>15</v>
      </c>
      <c r="B10" s="9">
        <v>50.283900000000003</v>
      </c>
      <c r="C10" s="9">
        <v>50.0062</v>
      </c>
      <c r="D10" s="9">
        <v>50.580702000000002</v>
      </c>
      <c r="E10" s="9">
        <v>49.656933000000002</v>
      </c>
      <c r="F10" s="9">
        <v>52.005809999999997</v>
      </c>
      <c r="G10" s="9">
        <v>51.898829999999997</v>
      </c>
      <c r="H10" s="9">
        <v>69.272099999999995</v>
      </c>
    </row>
    <row r="11" spans="1:8" x14ac:dyDescent="0.3">
      <c r="A11" s="2" t="s">
        <v>16</v>
      </c>
      <c r="B11" s="10">
        <v>135906</v>
      </c>
      <c r="C11" s="10">
        <v>135103.399</v>
      </c>
      <c r="D11" s="10">
        <v>133965.70000000001</v>
      </c>
      <c r="E11" s="10">
        <v>134781</v>
      </c>
      <c r="F11" s="10">
        <v>140893.70000000001</v>
      </c>
      <c r="G11" s="10">
        <v>139599.6</v>
      </c>
      <c r="H11" s="10">
        <v>169382.5</v>
      </c>
    </row>
    <row r="12" spans="1:8" x14ac:dyDescent="0.3">
      <c r="A12" s="3" t="s">
        <v>17</v>
      </c>
      <c r="B12" s="10">
        <v>0</v>
      </c>
      <c r="C12" s="10">
        <v>-802.601</v>
      </c>
      <c r="D12" s="10">
        <v>-1940.3</v>
      </c>
      <c r="E12" s="10">
        <v>-1125</v>
      </c>
      <c r="F12" s="10">
        <v>4987.7</v>
      </c>
      <c r="G12" s="10">
        <v>3693.6</v>
      </c>
      <c r="H12" s="10">
        <v>33476.5</v>
      </c>
    </row>
    <row r="13" spans="1:8" x14ac:dyDescent="0.3">
      <c r="B13" s="9"/>
      <c r="C13" s="9"/>
      <c r="D13" s="9"/>
      <c r="E13" s="9"/>
      <c r="F13" s="9"/>
      <c r="G13" s="9"/>
      <c r="H13" s="9"/>
    </row>
    <row r="14" spans="1:8" x14ac:dyDescent="0.3">
      <c r="A14" s="2" t="s">
        <v>18</v>
      </c>
      <c r="B14" s="9" t="s">
        <v>19</v>
      </c>
      <c r="C14" s="9">
        <v>0</v>
      </c>
      <c r="D14" s="9">
        <v>0.60065267</v>
      </c>
      <c r="E14" s="9">
        <v>-7.1795330000000004E-2</v>
      </c>
      <c r="F14" s="9">
        <v>-0.96453633000000005</v>
      </c>
      <c r="G14" s="9">
        <v>-0.39666233000000001</v>
      </c>
      <c r="H14" s="9">
        <v>-5.0417763300000003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8.6328125" defaultRowHeight="13" x14ac:dyDescent="0.3"/>
  <cols>
    <col min="1" max="1" width="30" style="5" customWidth="1"/>
    <col min="2" max="7" width="15.6328125" style="5" customWidth="1"/>
    <col min="8" max="16384" width="8.6328125" style="5"/>
  </cols>
  <sheetData>
    <row r="1" spans="1:7" x14ac:dyDescent="0.3">
      <c r="A1" s="7" t="s">
        <v>20</v>
      </c>
      <c r="B1" s="7"/>
      <c r="C1" s="7"/>
      <c r="D1" s="7"/>
      <c r="E1" s="7"/>
      <c r="F1" s="7"/>
      <c r="G1" s="7"/>
    </row>
    <row r="2" spans="1:7" x14ac:dyDescent="0.3">
      <c r="A2" s="8" t="s">
        <v>21</v>
      </c>
      <c r="B2" s="8"/>
      <c r="C2" s="8"/>
      <c r="D2" s="8"/>
      <c r="E2" s="8"/>
      <c r="F2" s="8"/>
      <c r="G2" s="8"/>
    </row>
    <row r="4" spans="1:7" ht="45.75" customHeight="1" x14ac:dyDescent="0.3">
      <c r="A4" s="1" t="s">
        <v>22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x14ac:dyDescent="0.3">
      <c r="A5" s="2" t="s">
        <v>23</v>
      </c>
      <c r="B5" s="9">
        <v>-0.55452800000000002</v>
      </c>
      <c r="C5" s="9">
        <v>0.517069</v>
      </c>
      <c r="D5" s="9">
        <v>-0.64102599999999998</v>
      </c>
      <c r="E5" s="9">
        <v>0.50584399999999996</v>
      </c>
      <c r="F5" s="9">
        <v>1.4851399999999999</v>
      </c>
      <c r="G5" s="9">
        <v>26.950900000000001</v>
      </c>
    </row>
    <row r="6" spans="1:7" x14ac:dyDescent="0.3">
      <c r="A6" s="2" t="s">
        <v>24</v>
      </c>
      <c r="B6" s="9">
        <v>-0.13101699999999999</v>
      </c>
      <c r="C6" s="9">
        <v>-1.5097100000000001</v>
      </c>
      <c r="D6" s="9">
        <v>8.3165439999999993E-2</v>
      </c>
      <c r="E6" s="9">
        <v>0.63547200000000004</v>
      </c>
      <c r="F6" s="9">
        <v>-0.89403500000000002</v>
      </c>
      <c r="G6" s="9">
        <v>0.913246</v>
      </c>
    </row>
    <row r="7" spans="1:7" x14ac:dyDescent="0.3">
      <c r="A7" s="2" t="s">
        <v>25</v>
      </c>
      <c r="B7" s="9">
        <v>-0.31080000000000002</v>
      </c>
      <c r="C7" s="9">
        <v>-0.68777999999999995</v>
      </c>
      <c r="D7" s="9">
        <v>-0.37745400000000001</v>
      </c>
      <c r="E7" s="9">
        <v>0.39215100000000003</v>
      </c>
      <c r="F7" s="9">
        <v>-0.18712899999999999</v>
      </c>
      <c r="G7" s="9">
        <v>7.5762799999999997</v>
      </c>
    </row>
    <row r="8" spans="1:7" x14ac:dyDescent="0.3">
      <c r="A8" s="2" t="s">
        <v>26</v>
      </c>
      <c r="B8" s="9">
        <v>-2.8202240000000001E-3</v>
      </c>
      <c r="C8" s="9">
        <v>1.068561E-2</v>
      </c>
      <c r="D8" s="9">
        <v>-4.6642150000000002E-3</v>
      </c>
      <c r="E8" s="9">
        <v>7.4078630000000006E-2</v>
      </c>
      <c r="F8" s="9">
        <v>8.48936E-2</v>
      </c>
      <c r="G8" s="9">
        <v>4.6375729999999997E-2</v>
      </c>
    </row>
    <row r="9" spans="1:7" x14ac:dyDescent="0.3">
      <c r="A9" s="2" t="s">
        <v>27</v>
      </c>
      <c r="B9" s="9">
        <v>-1.52856E-2</v>
      </c>
      <c r="C9" s="9">
        <v>9.5277719999999996E-2</v>
      </c>
      <c r="D9" s="9">
        <v>-3.5047389999999998E-2</v>
      </c>
      <c r="E9" s="9">
        <v>-3.1752549999999997E-2</v>
      </c>
      <c r="F9" s="9">
        <v>7.7276570000000003E-2</v>
      </c>
      <c r="G9" s="9">
        <v>-0.32454</v>
      </c>
    </row>
    <row r="10" spans="1:7" x14ac:dyDescent="0.3">
      <c r="A10" s="2" t="s">
        <v>28</v>
      </c>
      <c r="B10" s="9">
        <v>-1.3073600000000001</v>
      </c>
      <c r="C10" s="9">
        <v>-2.7307100000000002</v>
      </c>
      <c r="D10" s="9">
        <v>-0.99705600000000005</v>
      </c>
      <c r="E10" s="9">
        <v>1.9948699999999999</v>
      </c>
      <c r="F10" s="9">
        <v>0.31379699999999999</v>
      </c>
      <c r="G10" s="9">
        <v>139.267</v>
      </c>
    </row>
    <row r="11" spans="1:7" x14ac:dyDescent="0.3">
      <c r="A11" s="2" t="s">
        <v>29</v>
      </c>
      <c r="B11" s="9">
        <v>-3.6072799999999998</v>
      </c>
      <c r="C11" s="9">
        <v>-3.1061899999999998</v>
      </c>
      <c r="D11" s="9">
        <v>-3.9344600000000001</v>
      </c>
      <c r="E11" s="9">
        <v>0.52504600000000001</v>
      </c>
      <c r="F11" s="9">
        <v>1.0067299999999999</v>
      </c>
      <c r="G11" s="9">
        <v>43.629300000000001</v>
      </c>
    </row>
    <row r="12" spans="1:7" x14ac:dyDescent="0.3">
      <c r="A12" s="2" t="s">
        <v>30</v>
      </c>
      <c r="B12" s="9">
        <v>-0.91740500000000003</v>
      </c>
      <c r="C12" s="9">
        <v>-0.21181700000000001</v>
      </c>
      <c r="D12" s="9">
        <v>7.1673070000000005E-2</v>
      </c>
      <c r="E12" s="9">
        <v>1.6246499999999999</v>
      </c>
      <c r="F12" s="9">
        <v>1.94156</v>
      </c>
      <c r="G12" s="9">
        <v>43.438200000000002</v>
      </c>
    </row>
    <row r="13" spans="1:7" x14ac:dyDescent="0.3">
      <c r="A13" s="2" t="s">
        <v>31</v>
      </c>
      <c r="B13" s="9">
        <v>-1.0384199999999999</v>
      </c>
      <c r="C13" s="9">
        <v>-1.5255799999999999</v>
      </c>
      <c r="D13" s="9">
        <v>-0.34077200000000002</v>
      </c>
      <c r="E13" s="9">
        <v>7.7865329999999996E-2</v>
      </c>
      <c r="F13" s="9">
        <v>-0.67338699999999996</v>
      </c>
      <c r="G13" s="9">
        <v>45.234099999999998</v>
      </c>
    </row>
    <row r="14" spans="1:7" x14ac:dyDescent="0.3">
      <c r="A14" s="2" t="s">
        <v>32</v>
      </c>
      <c r="B14" s="9">
        <v>-0.41358800000000001</v>
      </c>
      <c r="C14" s="9">
        <v>-20.440200000000001</v>
      </c>
      <c r="D14" s="9">
        <v>-0.91127800000000003</v>
      </c>
      <c r="E14" s="9">
        <v>-3.3501300000000001</v>
      </c>
      <c r="F14" s="9">
        <v>-23.3125</v>
      </c>
      <c r="G14" s="9">
        <v>-8.6253799999999998</v>
      </c>
    </row>
    <row r="15" spans="1:7" x14ac:dyDescent="0.3">
      <c r="A15" s="2" t="s">
        <v>33</v>
      </c>
      <c r="B15" s="9">
        <v>-0.29755700000000002</v>
      </c>
      <c r="C15" s="9">
        <v>-1.5746100000000001</v>
      </c>
      <c r="D15" s="9">
        <v>-0.10226399999999999</v>
      </c>
      <c r="E15" s="9">
        <v>-6.4986829999999995E-2</v>
      </c>
      <c r="F15" s="9">
        <v>-1.5718799999999999</v>
      </c>
      <c r="G15" s="9">
        <v>16.785499999999999</v>
      </c>
    </row>
    <row r="16" spans="1:7" x14ac:dyDescent="0.3">
      <c r="A16" s="2" t="s">
        <v>34</v>
      </c>
      <c r="B16" s="9">
        <v>-0.20746999999999999</v>
      </c>
      <c r="C16" s="9">
        <v>-0.73059300000000005</v>
      </c>
      <c r="D16" s="9">
        <v>-0.190221</v>
      </c>
      <c r="E16" s="9">
        <v>1.9070130000000001E-2</v>
      </c>
      <c r="F16" s="9">
        <v>-0.670709</v>
      </c>
      <c r="G16" s="9">
        <v>7.2070499999999997</v>
      </c>
    </row>
    <row r="17" spans="1:7" x14ac:dyDescent="0.3">
      <c r="A17" s="2" t="s">
        <v>35</v>
      </c>
      <c r="B17" s="9">
        <v>-0.18179699999999999</v>
      </c>
      <c r="C17" s="9">
        <v>-0.26502300000000001</v>
      </c>
      <c r="D17" s="9">
        <v>-0.74106799999999995</v>
      </c>
      <c r="E17" s="9">
        <v>3.5874799999999998</v>
      </c>
      <c r="F17" s="9">
        <v>3.1946699999999999</v>
      </c>
      <c r="G17" s="9">
        <v>24.637899999999998</v>
      </c>
    </row>
    <row r="18" spans="1:7" x14ac:dyDescent="0.3">
      <c r="A18" s="2" t="s">
        <v>36</v>
      </c>
      <c r="B18" s="9">
        <v>-0.21789</v>
      </c>
      <c r="C18" s="9">
        <v>-0.54447100000000004</v>
      </c>
      <c r="D18" s="9">
        <v>-0.30814200000000003</v>
      </c>
      <c r="E18" s="9">
        <v>0.84956699999999996</v>
      </c>
      <c r="F18" s="9">
        <v>0.321712</v>
      </c>
      <c r="G18" s="9">
        <v>6.3445</v>
      </c>
    </row>
    <row r="19" spans="1:7" x14ac:dyDescent="0.3">
      <c r="A19" s="2" t="s">
        <v>37</v>
      </c>
      <c r="B19" s="9">
        <v>-0.184002</v>
      </c>
      <c r="C19" s="9">
        <v>-0.35286099999999998</v>
      </c>
      <c r="D19" s="9">
        <v>-0.24914700000000001</v>
      </c>
      <c r="E19" s="9">
        <v>0.72672300000000001</v>
      </c>
      <c r="F19" s="9">
        <v>0.412692</v>
      </c>
      <c r="G19" s="9">
        <v>4.1723699999999999</v>
      </c>
    </row>
    <row r="20" spans="1:7" x14ac:dyDescent="0.3">
      <c r="A20" s="2" t="s">
        <v>38</v>
      </c>
      <c r="B20" s="9">
        <v>-0.16911200000000001</v>
      </c>
      <c r="C20" s="9">
        <v>-0.56456399999999995</v>
      </c>
      <c r="D20" s="9">
        <v>-0.245419</v>
      </c>
      <c r="E20" s="9">
        <v>0.86294499999999996</v>
      </c>
      <c r="F20" s="9">
        <v>0.191525</v>
      </c>
      <c r="G20" s="9">
        <v>2.5980300000000001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8.6328125" defaultRowHeight="13" x14ac:dyDescent="0.3"/>
  <cols>
    <col min="1" max="1" width="30" style="5" customWidth="1"/>
    <col min="2" max="7" width="15.6328125" style="5" customWidth="1"/>
    <col min="8" max="16384" width="8.6328125" style="5"/>
  </cols>
  <sheetData>
    <row r="1" spans="1:7" x14ac:dyDescent="0.3">
      <c r="A1" s="7" t="s">
        <v>39</v>
      </c>
      <c r="B1" s="7"/>
      <c r="C1" s="7"/>
      <c r="D1" s="7"/>
      <c r="E1" s="7"/>
      <c r="F1" s="7"/>
      <c r="G1" s="7"/>
    </row>
    <row r="2" spans="1:7" x14ac:dyDescent="0.3">
      <c r="A2" s="8" t="s">
        <v>21</v>
      </c>
      <c r="B2" s="8"/>
      <c r="C2" s="8"/>
      <c r="D2" s="8"/>
      <c r="E2" s="8"/>
      <c r="F2" s="8"/>
      <c r="G2" s="8"/>
    </row>
    <row r="4" spans="1:7" ht="45.75" customHeight="1" x14ac:dyDescent="0.3">
      <c r="A4" s="1" t="s">
        <v>22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x14ac:dyDescent="0.3">
      <c r="A5" s="2" t="s">
        <v>23</v>
      </c>
      <c r="B5" s="9">
        <v>-0.64446800000000004</v>
      </c>
      <c r="C5" s="9">
        <v>0.195914</v>
      </c>
      <c r="D5" s="9">
        <v>-0.68473899999999999</v>
      </c>
      <c r="E5" s="9">
        <v>0.72906000000000004</v>
      </c>
      <c r="F5" s="9">
        <v>1.4570399999999999</v>
      </c>
      <c r="G5" s="9">
        <v>36.788899999999998</v>
      </c>
    </row>
    <row r="6" spans="1:7" x14ac:dyDescent="0.3">
      <c r="A6" s="2" t="s">
        <v>24</v>
      </c>
      <c r="B6" s="9">
        <v>-0.18898599999999999</v>
      </c>
      <c r="C6" s="9">
        <v>-2.2460399999999998</v>
      </c>
      <c r="D6" s="9">
        <v>0.135851</v>
      </c>
      <c r="E6" s="9">
        <v>0.96850499999999995</v>
      </c>
      <c r="F6" s="9">
        <v>-1.27529</v>
      </c>
      <c r="G6" s="9">
        <v>8.6778499999999994</v>
      </c>
    </row>
    <row r="7" spans="1:7" x14ac:dyDescent="0.3">
      <c r="A7" s="2" t="s">
        <v>25</v>
      </c>
      <c r="B7" s="9">
        <v>-0.204734</v>
      </c>
      <c r="C7" s="9">
        <v>-1.7077899999999999</v>
      </c>
      <c r="D7" s="9">
        <v>-0.118021</v>
      </c>
      <c r="E7" s="9">
        <v>0.65359100000000003</v>
      </c>
      <c r="F7" s="9">
        <v>-1.0165200000000001</v>
      </c>
      <c r="G7" s="9">
        <v>13.856400000000001</v>
      </c>
    </row>
    <row r="8" spans="1:7" x14ac:dyDescent="0.3">
      <c r="A8" s="2" t="s">
        <v>26</v>
      </c>
      <c r="B8" s="9">
        <v>-1.4775079999999999E-2</v>
      </c>
      <c r="C8" s="9">
        <v>-2.666694E-2</v>
      </c>
      <c r="D8" s="9">
        <v>-1.1536869999999999E-2</v>
      </c>
      <c r="E8" s="9">
        <v>1.0169600000000001</v>
      </c>
      <c r="F8" s="9">
        <v>0.98927500000000002</v>
      </c>
      <c r="G8" s="9">
        <v>1.5246200000000001</v>
      </c>
    </row>
    <row r="9" spans="1:7" x14ac:dyDescent="0.3">
      <c r="A9" s="2" t="s">
        <v>27</v>
      </c>
      <c r="B9" s="9">
        <v>-3.4916790000000003E-2</v>
      </c>
      <c r="C9" s="9">
        <v>0.16440199999999999</v>
      </c>
      <c r="D9" s="9">
        <v>-7.6848390000000003E-2</v>
      </c>
      <c r="E9" s="9">
        <v>-5.5870740000000002E-2</v>
      </c>
      <c r="F9" s="9">
        <v>0.14272599999999999</v>
      </c>
      <c r="G9" s="9">
        <v>-0.22518199999999999</v>
      </c>
    </row>
    <row r="10" spans="1:7" x14ac:dyDescent="0.3">
      <c r="A10" s="2" t="s">
        <v>28</v>
      </c>
      <c r="B10" s="9">
        <v>-1.2056199999999999</v>
      </c>
      <c r="C10" s="9">
        <v>-3.8147000000000002</v>
      </c>
      <c r="D10" s="9">
        <v>-0.73578200000000005</v>
      </c>
      <c r="E10" s="9">
        <v>2.3142100000000001</v>
      </c>
      <c r="F10" s="9">
        <v>-0.55813599999999997</v>
      </c>
      <c r="G10" s="9">
        <v>154.69499999999999</v>
      </c>
    </row>
    <row r="11" spans="1:7" x14ac:dyDescent="0.3">
      <c r="A11" s="2" t="s">
        <v>29</v>
      </c>
      <c r="B11" s="9">
        <v>-3.5453700000000001</v>
      </c>
      <c r="C11" s="9">
        <v>-4.0952000000000002</v>
      </c>
      <c r="D11" s="9">
        <v>-3.7470599999999998</v>
      </c>
      <c r="E11" s="9">
        <v>0.88852600000000004</v>
      </c>
      <c r="F11" s="9">
        <v>0.28292800000000001</v>
      </c>
      <c r="G11" s="9">
        <v>52.452800000000003</v>
      </c>
    </row>
    <row r="12" spans="1:7" x14ac:dyDescent="0.3">
      <c r="A12" s="2" t="s">
        <v>30</v>
      </c>
      <c r="B12" s="9">
        <v>-0.87118600000000002</v>
      </c>
      <c r="C12" s="9">
        <v>-1.18788</v>
      </c>
      <c r="D12" s="9">
        <v>0.23625599999999999</v>
      </c>
      <c r="E12" s="9">
        <v>2.0139399999999998</v>
      </c>
      <c r="F12" s="9">
        <v>1.28129</v>
      </c>
      <c r="G12" s="9">
        <v>52.054000000000002</v>
      </c>
    </row>
    <row r="13" spans="1:7" x14ac:dyDescent="0.3">
      <c r="A13" s="2" t="s">
        <v>31</v>
      </c>
      <c r="B13" s="9">
        <v>-0.95519699999999996</v>
      </c>
      <c r="C13" s="9">
        <v>-2.5775700000000001</v>
      </c>
      <c r="D13" s="9">
        <v>-0.111571</v>
      </c>
      <c r="E13" s="9">
        <v>0.41524499999999998</v>
      </c>
      <c r="F13" s="9">
        <v>-1.46231</v>
      </c>
      <c r="G13" s="9">
        <v>54.381900000000002</v>
      </c>
    </row>
    <row r="14" spans="1:7" x14ac:dyDescent="0.3">
      <c r="A14" s="2" t="s">
        <v>32</v>
      </c>
      <c r="B14" s="9">
        <v>-0.30335400000000001</v>
      </c>
      <c r="C14" s="9">
        <v>-21.3414</v>
      </c>
      <c r="D14" s="9">
        <v>-0.63712299999999999</v>
      </c>
      <c r="E14" s="9">
        <v>-3.0564200000000001</v>
      </c>
      <c r="F14" s="9">
        <v>-24.001799999999999</v>
      </c>
      <c r="G14" s="9">
        <v>-2.6797300000000002</v>
      </c>
    </row>
    <row r="15" spans="1:7" x14ac:dyDescent="0.3">
      <c r="A15" s="2" t="s">
        <v>33</v>
      </c>
      <c r="B15" s="9">
        <v>-0.229245</v>
      </c>
      <c r="C15" s="9">
        <v>-2.5248400000000002</v>
      </c>
      <c r="D15" s="9">
        <v>0.10320500000000001</v>
      </c>
      <c r="E15" s="9">
        <v>0.186249</v>
      </c>
      <c r="F15" s="9">
        <v>-2.3252899999999999</v>
      </c>
      <c r="G15" s="9">
        <v>23.6707</v>
      </c>
    </row>
    <row r="16" spans="1:7" x14ac:dyDescent="0.3">
      <c r="A16" s="2" t="s">
        <v>34</v>
      </c>
      <c r="B16" s="9">
        <v>-6.8509379999999995E-2</v>
      </c>
      <c r="C16" s="9">
        <v>-1.85955</v>
      </c>
      <c r="D16" s="9">
        <v>0.130297</v>
      </c>
      <c r="E16" s="9">
        <v>0.25432399999999999</v>
      </c>
      <c r="F16" s="9">
        <v>-1.6406000000000001</v>
      </c>
      <c r="G16" s="9">
        <v>13.9505</v>
      </c>
    </row>
    <row r="17" spans="1:7" x14ac:dyDescent="0.3">
      <c r="A17" s="2" t="s">
        <v>35</v>
      </c>
      <c r="B17" s="9">
        <v>-0.123178</v>
      </c>
      <c r="C17" s="9">
        <v>-0.93988899999999997</v>
      </c>
      <c r="D17" s="9">
        <v>-0.58838900000000005</v>
      </c>
      <c r="E17" s="9">
        <v>3.7925599999999999</v>
      </c>
      <c r="F17" s="9">
        <v>2.6600999999999999</v>
      </c>
      <c r="G17" s="9">
        <v>29.449000000000002</v>
      </c>
    </row>
    <row r="18" spans="1:7" x14ac:dyDescent="0.3">
      <c r="A18" s="2" t="s">
        <v>36</v>
      </c>
      <c r="B18" s="9">
        <v>-8.4100510000000003E-2</v>
      </c>
      <c r="C18" s="9">
        <v>-1.96584</v>
      </c>
      <c r="D18" s="9">
        <v>3.1862750000000002E-2</v>
      </c>
      <c r="E18" s="9">
        <v>1.24946</v>
      </c>
      <c r="F18" s="9">
        <v>-0.80222099999999996</v>
      </c>
      <c r="G18" s="9">
        <v>15.1555</v>
      </c>
    </row>
    <row r="19" spans="1:7" x14ac:dyDescent="0.3">
      <c r="A19" s="2" t="s">
        <v>37</v>
      </c>
      <c r="B19" s="9">
        <v>-0.13131699999999999</v>
      </c>
      <c r="C19" s="9">
        <v>-1.60259</v>
      </c>
      <c r="D19" s="9">
        <v>-4.9260489999999997E-2</v>
      </c>
      <c r="E19" s="9">
        <v>1.24064</v>
      </c>
      <c r="F19" s="9">
        <v>-0.40288800000000002</v>
      </c>
      <c r="G19" s="9">
        <v>12.355600000000001</v>
      </c>
    </row>
    <row r="20" spans="1:7" x14ac:dyDescent="0.3">
      <c r="A20" s="2" t="s">
        <v>38</v>
      </c>
      <c r="B20" s="9">
        <v>-9.4462660000000004E-2</v>
      </c>
      <c r="C20" s="9">
        <v>-1.82036</v>
      </c>
      <c r="D20" s="9">
        <v>-1.125949E-2</v>
      </c>
      <c r="E20" s="9">
        <v>1.3267599999999999</v>
      </c>
      <c r="F20" s="9">
        <v>-0.68491599999999997</v>
      </c>
      <c r="G20" s="9">
        <v>10.513299999999999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6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8.6328125" defaultRowHeight="13" x14ac:dyDescent="0.3"/>
  <cols>
    <col min="1" max="1" width="30" style="5" customWidth="1"/>
    <col min="2" max="7" width="15.6328125" style="5" customWidth="1"/>
    <col min="8" max="16384" width="8.6328125" style="5"/>
  </cols>
  <sheetData>
    <row r="1" spans="1:7" x14ac:dyDescent="0.3">
      <c r="A1" s="7" t="s">
        <v>40</v>
      </c>
      <c r="B1" s="7"/>
      <c r="C1" s="7"/>
      <c r="D1" s="7"/>
      <c r="E1" s="7"/>
      <c r="F1" s="7"/>
      <c r="G1" s="7"/>
    </row>
    <row r="2" spans="1:7" x14ac:dyDescent="0.3">
      <c r="A2" s="6" t="s">
        <v>41</v>
      </c>
      <c r="B2" s="6"/>
      <c r="C2" s="6"/>
      <c r="D2" s="6"/>
      <c r="E2" s="6"/>
      <c r="F2" s="6"/>
      <c r="G2" s="6"/>
    </row>
    <row r="4" spans="1:7" x14ac:dyDescent="0.3">
      <c r="A4" s="4" t="s">
        <v>28</v>
      </c>
    </row>
    <row r="5" spans="1:7" ht="45.75" customHeight="1" x14ac:dyDescent="0.3">
      <c r="A5" s="1" t="s">
        <v>42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7" x14ac:dyDescent="0.3">
      <c r="A6" s="2" t="s">
        <v>43</v>
      </c>
      <c r="B6" s="9">
        <v>-63.365099999999998</v>
      </c>
      <c r="C6" s="9">
        <v>-62.569699999999997</v>
      </c>
      <c r="D6" s="9">
        <v>-63.544600000000003</v>
      </c>
      <c r="E6" s="9">
        <v>-37.981900000000003</v>
      </c>
      <c r="F6" s="9">
        <v>-36.698300000000003</v>
      </c>
      <c r="G6" s="9">
        <v>-44.5839</v>
      </c>
    </row>
    <row r="7" spans="1:7" x14ac:dyDescent="0.3">
      <c r="A7" s="2" t="s">
        <v>44</v>
      </c>
      <c r="B7" s="9">
        <v>0.215804</v>
      </c>
      <c r="C7" s="9">
        <v>2.3551500000000001</v>
      </c>
      <c r="D7" s="9">
        <v>-0.22527700000000001</v>
      </c>
      <c r="E7" s="9">
        <v>5.2821699999999998</v>
      </c>
      <c r="F7" s="9">
        <v>7.4425100000000004</v>
      </c>
      <c r="G7" s="9">
        <v>1324.44</v>
      </c>
    </row>
    <row r="8" spans="1:7" x14ac:dyDescent="0.3">
      <c r="A8" s="2" t="s">
        <v>45</v>
      </c>
      <c r="B8" s="9">
        <v>0.21784600000000001</v>
      </c>
      <c r="C8" s="9">
        <v>2.4447899999999998</v>
      </c>
      <c r="D8" s="9">
        <v>-0.234403</v>
      </c>
      <c r="E8" s="9">
        <v>3.3985500000000002</v>
      </c>
      <c r="F8" s="9">
        <v>5.6217199999999998</v>
      </c>
      <c r="G8" s="9">
        <v>472.202</v>
      </c>
    </row>
    <row r="9" spans="1:7" x14ac:dyDescent="0.3">
      <c r="A9" s="2" t="s">
        <v>46</v>
      </c>
      <c r="B9" s="9">
        <v>0.21753900000000001</v>
      </c>
      <c r="C9" s="9">
        <v>2.4000599999999999</v>
      </c>
      <c r="D9" s="9">
        <v>-0.245971</v>
      </c>
      <c r="E9" s="9">
        <v>15.5991</v>
      </c>
      <c r="F9" s="9">
        <v>18.007200000000001</v>
      </c>
      <c r="G9" s="9">
        <v>624.00199999999995</v>
      </c>
    </row>
    <row r="10" spans="1:7" x14ac:dyDescent="0.3">
      <c r="A10" s="2" t="s">
        <v>47</v>
      </c>
      <c r="B10" s="9">
        <v>0.167771</v>
      </c>
      <c r="C10" s="9">
        <v>1.3418000000000001</v>
      </c>
      <c r="D10" s="9">
        <v>-0.101816</v>
      </c>
      <c r="E10" s="9">
        <v>2.2124700000000002</v>
      </c>
      <c r="F10" s="9">
        <v>3.3899900000000001</v>
      </c>
      <c r="G10" s="9">
        <v>291.37799999999999</v>
      </c>
    </row>
    <row r="11" spans="1:7" x14ac:dyDescent="0.3">
      <c r="A11" s="2" t="s">
        <v>48</v>
      </c>
      <c r="B11" s="9">
        <v>0.21666099999999999</v>
      </c>
      <c r="C11" s="9">
        <v>2.4074499999999999</v>
      </c>
      <c r="D11" s="9">
        <v>-0.23989199999999999</v>
      </c>
      <c r="E11" s="9">
        <v>5.194</v>
      </c>
      <c r="F11" s="9">
        <v>7.4043700000000001</v>
      </c>
      <c r="G11" s="9">
        <v>732.87</v>
      </c>
    </row>
    <row r="13" spans="1:7" x14ac:dyDescent="0.3">
      <c r="A13" s="4" t="s">
        <v>29</v>
      </c>
    </row>
    <row r="14" spans="1:7" ht="45.75" customHeight="1" x14ac:dyDescent="0.3">
      <c r="A14" s="1" t="s">
        <v>42</v>
      </c>
      <c r="B14" s="1" t="s">
        <v>4</v>
      </c>
      <c r="C14" s="1" t="s">
        <v>5</v>
      </c>
      <c r="D14" s="1" t="s">
        <v>6</v>
      </c>
      <c r="E14" s="1" t="s">
        <v>7</v>
      </c>
      <c r="F14" s="1" t="s">
        <v>8</v>
      </c>
      <c r="G14" s="1" t="s">
        <v>9</v>
      </c>
    </row>
    <row r="15" spans="1:7" x14ac:dyDescent="0.3">
      <c r="A15" s="2" t="s">
        <v>43</v>
      </c>
      <c r="B15" s="9">
        <v>-76.981899999999996</v>
      </c>
      <c r="C15" s="9">
        <v>-73.949799999999996</v>
      </c>
      <c r="D15" s="9">
        <v>-77.234399999999994</v>
      </c>
      <c r="E15" s="9">
        <v>-62.5655</v>
      </c>
      <c r="F15" s="9">
        <v>-57.709899999999998</v>
      </c>
      <c r="G15" s="9">
        <v>-62.536099999999998</v>
      </c>
    </row>
    <row r="16" spans="1:7" x14ac:dyDescent="0.3">
      <c r="A16" s="2" t="s">
        <v>44</v>
      </c>
      <c r="B16" s="9">
        <v>-3.3790979999999998E-2</v>
      </c>
      <c r="C16" s="9">
        <v>12.9978</v>
      </c>
      <c r="D16" s="9">
        <v>-1.0747100000000001</v>
      </c>
      <c r="E16" s="9">
        <v>4.5447600000000001</v>
      </c>
      <c r="F16" s="9">
        <v>18.000699999999998</v>
      </c>
      <c r="G16" s="9">
        <v>150.88</v>
      </c>
    </row>
    <row r="17" spans="1:7" x14ac:dyDescent="0.3">
      <c r="A17" s="2" t="s">
        <v>45</v>
      </c>
      <c r="B17" s="9">
        <v>-2.6375579999999999E-2</v>
      </c>
      <c r="C17" s="9">
        <v>13.040100000000001</v>
      </c>
      <c r="D17" s="9">
        <v>-1.0739300000000001</v>
      </c>
      <c r="E17" s="9">
        <v>4.0839800000000004</v>
      </c>
      <c r="F17" s="9">
        <v>17.5304</v>
      </c>
      <c r="G17" s="9">
        <v>3.4061900000000001</v>
      </c>
    </row>
    <row r="18" spans="1:7" x14ac:dyDescent="0.3">
      <c r="A18" s="2" t="s">
        <v>46</v>
      </c>
      <c r="B18" s="9">
        <v>-3.2439509999999998E-2</v>
      </c>
      <c r="C18" s="9">
        <v>13.004899999999999</v>
      </c>
      <c r="D18" s="9">
        <v>-1.0757000000000001</v>
      </c>
      <c r="E18" s="9">
        <v>4.5945200000000002</v>
      </c>
      <c r="F18" s="9">
        <v>18.0627</v>
      </c>
      <c r="G18" s="9">
        <v>157.273</v>
      </c>
    </row>
    <row r="19" spans="1:7" x14ac:dyDescent="0.3">
      <c r="A19" s="2" t="s">
        <v>47</v>
      </c>
      <c r="B19" s="9">
        <v>-4.5841769999999997E-2</v>
      </c>
      <c r="C19" s="9">
        <v>6.5375399999999999</v>
      </c>
      <c r="D19" s="9">
        <v>-0.54020599999999996</v>
      </c>
      <c r="E19" s="9">
        <v>2.51654</v>
      </c>
      <c r="F19" s="9">
        <v>9.2402700000000006</v>
      </c>
      <c r="G19" s="9">
        <v>15.719799999999999</v>
      </c>
    </row>
    <row r="20" spans="1:7" x14ac:dyDescent="0.3">
      <c r="A20" s="2" t="s">
        <v>48</v>
      </c>
      <c r="B20" s="9">
        <v>-2.7816960000000002E-2</v>
      </c>
      <c r="C20" s="9">
        <v>13.099</v>
      </c>
      <c r="D20" s="9">
        <v>-1.09036</v>
      </c>
      <c r="E20" s="9">
        <v>7.3525200000000002</v>
      </c>
      <c r="F20" s="9">
        <v>21.270600000000002</v>
      </c>
      <c r="G20" s="9">
        <v>129.18100000000001</v>
      </c>
    </row>
    <row r="22" spans="1:7" x14ac:dyDescent="0.3">
      <c r="A22" s="4" t="s">
        <v>32</v>
      </c>
    </row>
    <row r="23" spans="1:7" ht="45.75" customHeight="1" x14ac:dyDescent="0.3">
      <c r="A23" s="1" t="s">
        <v>42</v>
      </c>
      <c r="B23" s="1" t="s">
        <v>4</v>
      </c>
      <c r="C23" s="1" t="s">
        <v>5</v>
      </c>
      <c r="D23" s="1" t="s">
        <v>6</v>
      </c>
      <c r="E23" s="1" t="s">
        <v>7</v>
      </c>
      <c r="F23" s="1" t="s">
        <v>8</v>
      </c>
      <c r="G23" s="1" t="s">
        <v>9</v>
      </c>
    </row>
    <row r="24" spans="1:7" x14ac:dyDescent="0.3">
      <c r="A24" s="2" t="s">
        <v>43</v>
      </c>
      <c r="B24" s="9">
        <v>-85.733900000000006</v>
      </c>
      <c r="C24" s="9">
        <v>-82.914400000000001</v>
      </c>
      <c r="D24" s="9">
        <v>-85.912099999999995</v>
      </c>
      <c r="E24" s="9">
        <v>-60.109200000000001</v>
      </c>
      <c r="F24" s="9">
        <v>-52.315199999999997</v>
      </c>
      <c r="G24" s="9">
        <v>-65.260800000000003</v>
      </c>
    </row>
    <row r="25" spans="1:7" x14ac:dyDescent="0.3">
      <c r="A25" s="2" t="s">
        <v>44</v>
      </c>
      <c r="B25" s="9">
        <v>-0.224078</v>
      </c>
      <c r="C25" s="9">
        <v>19.477599999999999</v>
      </c>
      <c r="D25" s="9">
        <v>-1.43987</v>
      </c>
      <c r="E25" s="9">
        <v>-2.6430899999999999</v>
      </c>
      <c r="F25" s="9">
        <v>16.438400000000001</v>
      </c>
      <c r="G25" s="9">
        <v>453.11799999999999</v>
      </c>
    </row>
    <row r="26" spans="1:7" x14ac:dyDescent="0.3">
      <c r="A26" s="2" t="s">
        <v>45</v>
      </c>
      <c r="B26" s="9">
        <v>-0.222113</v>
      </c>
      <c r="C26" s="9">
        <v>19.5825</v>
      </c>
      <c r="D26" s="9">
        <v>-1.4461200000000001</v>
      </c>
      <c r="E26" s="9">
        <v>-5.33223</v>
      </c>
      <c r="F26" s="9">
        <v>13.3157</v>
      </c>
      <c r="G26" s="9">
        <v>363.72300000000001</v>
      </c>
    </row>
    <row r="27" spans="1:7" x14ac:dyDescent="0.3">
      <c r="A27" s="2" t="s">
        <v>46</v>
      </c>
      <c r="B27" s="9">
        <v>-0.221995</v>
      </c>
      <c r="C27" s="9">
        <v>19.3323</v>
      </c>
      <c r="D27" s="9">
        <v>-1.4286399999999999</v>
      </c>
      <c r="E27" s="9">
        <v>-4.2030399999999997</v>
      </c>
      <c r="F27" s="9">
        <v>14.4377</v>
      </c>
      <c r="G27" s="9">
        <v>-16.6129</v>
      </c>
    </row>
    <row r="28" spans="1:7" x14ac:dyDescent="0.3">
      <c r="A28" s="2" t="s">
        <v>47</v>
      </c>
      <c r="B28" s="9">
        <v>-0.21553900000000001</v>
      </c>
      <c r="C28" s="9">
        <v>15.0451</v>
      </c>
      <c r="D28" s="9">
        <v>-1.2522800000000001</v>
      </c>
      <c r="E28" s="9">
        <v>-6.81595</v>
      </c>
      <c r="F28" s="9">
        <v>7.6294599999999999</v>
      </c>
      <c r="G28" s="9">
        <v>130.44800000000001</v>
      </c>
    </row>
    <row r="29" spans="1:7" x14ac:dyDescent="0.3">
      <c r="A29" s="2" t="s">
        <v>48</v>
      </c>
      <c r="B29" s="9">
        <v>-0.22209000000000001</v>
      </c>
      <c r="C29" s="9">
        <v>19.549800000000001</v>
      </c>
      <c r="D29" s="9">
        <v>-1.4438</v>
      </c>
      <c r="E29" s="9">
        <v>-5.5207499999999996</v>
      </c>
      <c r="F29" s="9">
        <v>13.064399999999999</v>
      </c>
      <c r="G29" s="9">
        <v>410.83699999999999</v>
      </c>
    </row>
    <row r="31" spans="1:7" x14ac:dyDescent="0.3">
      <c r="A31" s="4" t="s">
        <v>30</v>
      </c>
    </row>
    <row r="32" spans="1:7" ht="45.75" customHeight="1" x14ac:dyDescent="0.3">
      <c r="A32" s="1" t="s">
        <v>42</v>
      </c>
      <c r="B32" s="1" t="s">
        <v>4</v>
      </c>
      <c r="C32" s="1" t="s">
        <v>5</v>
      </c>
      <c r="D32" s="1" t="s">
        <v>6</v>
      </c>
      <c r="E32" s="1" t="s">
        <v>7</v>
      </c>
      <c r="F32" s="1" t="s">
        <v>8</v>
      </c>
      <c r="G32" s="1" t="s">
        <v>9</v>
      </c>
    </row>
    <row r="33" spans="1:7" x14ac:dyDescent="0.3">
      <c r="A33" s="2" t="s">
        <v>43</v>
      </c>
      <c r="B33" s="9">
        <v>-87.305899999999994</v>
      </c>
      <c r="C33" s="9">
        <v>-86.183099999999996</v>
      </c>
      <c r="D33" s="9">
        <v>-87.5197</v>
      </c>
      <c r="E33" s="9">
        <v>-70.733599999999996</v>
      </c>
      <c r="F33" s="9">
        <v>-68.251000000000005</v>
      </c>
      <c r="G33" s="9">
        <v>-76.804299999999998</v>
      </c>
    </row>
    <row r="34" spans="1:7" x14ac:dyDescent="0.3">
      <c r="A34" s="2" t="s">
        <v>44</v>
      </c>
      <c r="B34" s="9">
        <v>-0.15697900000000001</v>
      </c>
      <c r="C34" s="9">
        <v>8.54617</v>
      </c>
      <c r="D34" s="9">
        <v>-1.7630999999999999</v>
      </c>
      <c r="E34" s="9">
        <v>8.0642800000000001</v>
      </c>
      <c r="F34" s="9">
        <v>17.201799999999999</v>
      </c>
      <c r="G34" s="9">
        <v>547.94399999999996</v>
      </c>
    </row>
    <row r="35" spans="1:7" x14ac:dyDescent="0.3">
      <c r="A35" s="2" t="s">
        <v>45</v>
      </c>
      <c r="B35" s="9">
        <v>-0.152334</v>
      </c>
      <c r="C35" s="9">
        <v>8.7280499999999996</v>
      </c>
      <c r="D35" s="9">
        <v>-1.77939</v>
      </c>
      <c r="E35" s="9">
        <v>0.195854</v>
      </c>
      <c r="F35" s="9">
        <v>8.8504299999999994</v>
      </c>
      <c r="G35" s="9">
        <v>333.28</v>
      </c>
    </row>
    <row r="36" spans="1:7" x14ac:dyDescent="0.3">
      <c r="A36" s="2" t="s">
        <v>46</v>
      </c>
      <c r="B36" s="9">
        <v>-0.15750700000000001</v>
      </c>
      <c r="C36" s="9">
        <v>8.5599100000000004</v>
      </c>
      <c r="D36" s="9">
        <v>-1.77162</v>
      </c>
      <c r="E36" s="9">
        <v>10.328200000000001</v>
      </c>
      <c r="F36" s="9">
        <v>19.677399999999999</v>
      </c>
      <c r="G36" s="9">
        <v>556.98500000000001</v>
      </c>
    </row>
    <row r="37" spans="1:7" x14ac:dyDescent="0.3">
      <c r="A37" s="2" t="s">
        <v>47</v>
      </c>
      <c r="B37" s="9">
        <v>-0.16972799999999999</v>
      </c>
      <c r="C37" s="9">
        <v>6.2890499999999996</v>
      </c>
      <c r="D37" s="9">
        <v>-1.4176200000000001</v>
      </c>
      <c r="E37" s="9">
        <v>2.0627300000000002</v>
      </c>
      <c r="F37" s="9">
        <v>8.5331100000000006</v>
      </c>
      <c r="G37" s="9">
        <v>149.17099999999999</v>
      </c>
    </row>
    <row r="38" spans="1:7" x14ac:dyDescent="0.3">
      <c r="A38" s="2" t="s">
        <v>48</v>
      </c>
      <c r="B38" s="9">
        <v>-0.15425900000000001</v>
      </c>
      <c r="C38" s="9">
        <v>8.6371000000000002</v>
      </c>
      <c r="D38" s="9">
        <v>-1.7859</v>
      </c>
      <c r="E38" s="9">
        <v>5.3127500000000003</v>
      </c>
      <c r="F38" s="9">
        <v>14.3095</v>
      </c>
      <c r="G38" s="9">
        <v>448.39499999999998</v>
      </c>
    </row>
    <row r="40" spans="1:7" x14ac:dyDescent="0.3">
      <c r="A40" s="4" t="s">
        <v>31</v>
      </c>
    </row>
    <row r="41" spans="1:7" ht="45.75" customHeight="1" x14ac:dyDescent="0.3">
      <c r="A41" s="1" t="s">
        <v>42</v>
      </c>
      <c r="B41" s="1" t="s">
        <v>4</v>
      </c>
      <c r="C41" s="1" t="s">
        <v>5</v>
      </c>
      <c r="D41" s="1" t="s">
        <v>6</v>
      </c>
      <c r="E41" s="1" t="s">
        <v>7</v>
      </c>
      <c r="F41" s="1" t="s">
        <v>8</v>
      </c>
      <c r="G41" s="1" t="s">
        <v>9</v>
      </c>
    </row>
    <row r="42" spans="1:7" x14ac:dyDescent="0.3">
      <c r="A42" s="2" t="s">
        <v>43</v>
      </c>
      <c r="B42" s="9">
        <v>-75.798900000000003</v>
      </c>
      <c r="C42" s="9">
        <v>-74.379000000000005</v>
      </c>
      <c r="D42" s="9">
        <v>-76.148899999999998</v>
      </c>
      <c r="E42" s="9">
        <v>-62.14</v>
      </c>
      <c r="F42" s="9">
        <v>-60.011400000000002</v>
      </c>
      <c r="G42" s="9">
        <v>-67.800600000000003</v>
      </c>
    </row>
    <row r="43" spans="1:7" x14ac:dyDescent="0.3">
      <c r="A43" s="2" t="s">
        <v>44</v>
      </c>
      <c r="B43" s="9">
        <v>-0.11966599999999999</v>
      </c>
      <c r="C43" s="9">
        <v>5.6634900000000004</v>
      </c>
      <c r="D43" s="9">
        <v>-1.5000899999999999</v>
      </c>
      <c r="E43" s="9">
        <v>3.8559800000000002</v>
      </c>
      <c r="F43" s="9">
        <v>9.6544699999999999</v>
      </c>
      <c r="G43" s="9">
        <v>567.81299999999999</v>
      </c>
    </row>
    <row r="44" spans="1:7" x14ac:dyDescent="0.3">
      <c r="A44" s="2" t="s">
        <v>45</v>
      </c>
      <c r="B44" s="9">
        <v>-0.119815</v>
      </c>
      <c r="C44" s="9">
        <v>5.8315200000000003</v>
      </c>
      <c r="D44" s="9">
        <v>-1.51898</v>
      </c>
      <c r="E44" s="9">
        <v>-4.5312129999999999E-2</v>
      </c>
      <c r="F44" s="9">
        <v>5.71143</v>
      </c>
      <c r="G44" s="9">
        <v>393.71699999999998</v>
      </c>
    </row>
    <row r="45" spans="1:7" x14ac:dyDescent="0.3">
      <c r="A45" s="2" t="s">
        <v>46</v>
      </c>
      <c r="B45" s="9">
        <v>-0.12050900000000001</v>
      </c>
      <c r="C45" s="9">
        <v>5.7212899999999998</v>
      </c>
      <c r="D45" s="9">
        <v>-1.51562</v>
      </c>
      <c r="E45" s="9">
        <v>5.5930499999999999</v>
      </c>
      <c r="F45" s="9">
        <v>11.5443</v>
      </c>
      <c r="G45" s="9">
        <v>542.43600000000004</v>
      </c>
    </row>
    <row r="46" spans="1:7" x14ac:dyDescent="0.3">
      <c r="A46" s="2" t="s">
        <v>47</v>
      </c>
      <c r="B46" s="9">
        <v>-0.12091</v>
      </c>
      <c r="C46" s="9">
        <v>4.18933</v>
      </c>
      <c r="D46" s="9">
        <v>-1.1658999999999999</v>
      </c>
      <c r="E46" s="9">
        <v>-1.21851</v>
      </c>
      <c r="F46" s="9">
        <v>2.91988</v>
      </c>
      <c r="G46" s="9">
        <v>106.17100000000001</v>
      </c>
    </row>
    <row r="47" spans="1:7" x14ac:dyDescent="0.3">
      <c r="A47" s="2" t="s">
        <v>48</v>
      </c>
      <c r="B47" s="9">
        <v>-0.119445</v>
      </c>
      <c r="C47" s="9">
        <v>5.7155899999999997</v>
      </c>
      <c r="D47" s="9">
        <v>-1.51451</v>
      </c>
      <c r="E47" s="9">
        <v>2.3734799999999998</v>
      </c>
      <c r="F47" s="9">
        <v>8.1426800000000004</v>
      </c>
      <c r="G47" s="9">
        <v>359.37700000000001</v>
      </c>
    </row>
    <row r="49" spans="1:7" x14ac:dyDescent="0.3">
      <c r="A49" s="4" t="s">
        <v>23</v>
      </c>
    </row>
    <row r="50" spans="1:7" ht="45.75" customHeight="1" x14ac:dyDescent="0.3">
      <c r="A50" s="1" t="s">
        <v>42</v>
      </c>
      <c r="B50" s="1" t="s">
        <v>4</v>
      </c>
      <c r="C50" s="1" t="s">
        <v>5</v>
      </c>
      <c r="D50" s="1" t="s">
        <v>6</v>
      </c>
      <c r="E50" s="1" t="s">
        <v>7</v>
      </c>
      <c r="F50" s="1" t="s">
        <v>8</v>
      </c>
      <c r="G50" s="1" t="s">
        <v>9</v>
      </c>
    </row>
    <row r="51" spans="1:7" x14ac:dyDescent="0.3">
      <c r="A51" s="2" t="s">
        <v>43</v>
      </c>
      <c r="B51" s="9">
        <v>-71.628200000000007</v>
      </c>
      <c r="C51" s="9">
        <v>-70.399500000000003</v>
      </c>
      <c r="D51" s="9">
        <v>-71.933499999999995</v>
      </c>
      <c r="E51" s="9">
        <v>-63.688000000000002</v>
      </c>
      <c r="F51" s="9">
        <v>-62.134</v>
      </c>
      <c r="G51" s="9">
        <v>-79.534599999999998</v>
      </c>
    </row>
    <row r="52" spans="1:7" x14ac:dyDescent="0.3">
      <c r="A52" s="2" t="s">
        <v>44</v>
      </c>
      <c r="B52" s="9">
        <v>0.51480300000000001</v>
      </c>
      <c r="C52" s="9">
        <v>4.5744800000000003</v>
      </c>
      <c r="D52" s="9">
        <v>-0.46316000000000002</v>
      </c>
      <c r="E52" s="9">
        <v>2.41431</v>
      </c>
      <c r="F52" s="9">
        <v>6.5167099999999998</v>
      </c>
      <c r="G52" s="9">
        <v>114.637</v>
      </c>
    </row>
    <row r="53" spans="1:7" x14ac:dyDescent="0.3">
      <c r="A53" s="2" t="s">
        <v>45</v>
      </c>
      <c r="B53" s="9">
        <v>0.52770600000000001</v>
      </c>
      <c r="C53" s="9">
        <v>4.7537200000000004</v>
      </c>
      <c r="D53" s="9">
        <v>-0.48475600000000002</v>
      </c>
      <c r="E53" s="9">
        <v>8.6819699999999997</v>
      </c>
      <c r="F53" s="9">
        <v>13.2196</v>
      </c>
      <c r="G53" s="9">
        <v>108.191</v>
      </c>
    </row>
    <row r="54" spans="1:7" x14ac:dyDescent="0.3">
      <c r="A54" s="2" t="s">
        <v>46</v>
      </c>
      <c r="B54" s="9">
        <v>0.49903799999999998</v>
      </c>
      <c r="C54" s="9">
        <v>4.4243800000000002</v>
      </c>
      <c r="D54" s="9">
        <v>-0.44819900000000001</v>
      </c>
      <c r="E54" s="9">
        <v>2.1421999999999999</v>
      </c>
      <c r="F54" s="9">
        <v>6.0979599999999996</v>
      </c>
      <c r="G54" s="9">
        <v>71.567800000000005</v>
      </c>
    </row>
    <row r="55" spans="1:7" x14ac:dyDescent="0.3">
      <c r="A55" s="2" t="s">
        <v>47</v>
      </c>
      <c r="B55" s="9">
        <v>0.32671699999999998</v>
      </c>
      <c r="C55" s="9">
        <v>1.65256</v>
      </c>
      <c r="D55" s="9">
        <v>-6.8515989999999999E-2</v>
      </c>
      <c r="E55" s="9">
        <v>2.3288199999999999</v>
      </c>
      <c r="F55" s="9">
        <v>3.6900499999999998</v>
      </c>
      <c r="G55" s="9">
        <v>-14.328200000000001</v>
      </c>
    </row>
    <row r="56" spans="1:7" x14ac:dyDescent="0.3">
      <c r="A56" s="2" t="s">
        <v>48</v>
      </c>
      <c r="B56" s="9">
        <v>0.52928900000000001</v>
      </c>
      <c r="C56" s="9">
        <v>4.7285500000000003</v>
      </c>
      <c r="D56" s="9">
        <v>-0.48502099999999998</v>
      </c>
      <c r="E56" s="9">
        <v>0.78693599999999997</v>
      </c>
      <c r="F56" s="9">
        <v>4.9648899999999996</v>
      </c>
      <c r="G56" s="9">
        <v>77.929599999999994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9 Macro</vt:lpstr>
      <vt:lpstr>Table 10 GVA</vt:lpstr>
      <vt:lpstr>Table 11 Employment</vt:lpstr>
      <vt:lpstr>Table 12 Trade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Rossouw, Riaan</cp:lastModifiedBy>
  <cp:revision>1</cp:revision>
  <dcterms:created xsi:type="dcterms:W3CDTF">2026-08-27T08:15:55Z</dcterms:created>
  <dcterms:modified xsi:type="dcterms:W3CDTF">2026-08-27T12:00:30Z</dcterms:modified>
  <dc:language>en-US</dc:language>
</cp:coreProperties>
</file>